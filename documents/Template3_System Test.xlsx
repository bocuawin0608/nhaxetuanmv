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est Cases" sheetId="2" r:id="rId5"/>
    <sheet state="visible" name="Test Statistics" sheetId="3" r:id="rId6"/>
    <sheet state="visible" name="Passenger Ticket Booking" sheetId="4" r:id="rId7"/>
    <sheet state="visible" name="Cargo Order Booking" sheetId="5" r:id="rId8"/>
  </sheets>
  <definedNames>
    <definedName localSheetId="0" name="ACTION">#REF!</definedName>
    <definedName name="ACTION">#REF!</definedName>
  </definedNames>
  <calcPr/>
  <extLst>
    <ext uri="GoogleSheetsCustomDataVersion2">
      <go:sheetsCustomData xmlns:go="http://customooxmlschemas.google.com/" r:id="rId9" roundtripDataChecksum="+t7nBYADV+YNERv2vV3F0OW5Gt+i9vl4kQb5H09Pwwo="/>
    </ext>
  </extLst>
</workbook>
</file>

<file path=xl/sharedStrings.xml><?xml version="1.0" encoding="utf-8"?>
<sst xmlns="http://schemas.openxmlformats.org/spreadsheetml/2006/main" count="567" uniqueCount="334">
  <si>
    <t>TEST STATISTICS</t>
  </si>
  <si>
    <t>TEST CASE LIST</t>
  </si>
  <si>
    <t>Workflow</t>
  </si>
  <si>
    <t>Passenger Ticket Booking</t>
  </si>
  <si>
    <t>Project Name</t>
  </si>
  <si>
    <t>SYSTEM TEST REPORT DOCUMENT</t>
  </si>
  <si>
    <t>Passed</t>
  </si>
  <si>
    <t>Test requirement</t>
  </si>
  <si>
    <t>&lt;Brief description about requirements which are tested in this sheet&gt;</t>
  </si>
  <si>
    <t>Project Code</t>
  </si>
  <si>
    <t>Ralsei Coach House System</t>
  </si>
  <si>
    <t>Test Environment Setup Description</t>
  </si>
  <si>
    <t>Failed</t>
  </si>
  <si>
    <t>Creator</t>
  </si>
  <si>
    <t>Doan Ngoc Duc, Le Thu Ha, Nguyen Minh Thanh, Phan Duc Trung</t>
  </si>
  <si>
    <r>
      <rPr>
        <rFont val="Tahoma"/>
        <i/>
        <color rgb="FF008000"/>
        <sz val="10.0"/>
      </rPr>
      <t xml:space="preserve">&lt;List enviroment requires in this system
1. Backend Server: </t>
    </r>
    <r>
      <rPr>
        <rFont val="Tahoma"/>
        <i/>
        <color rgb="FF1155CC"/>
        <sz val="10.0"/>
        <u/>
      </rPr>
      <t>https://localhost:9090</t>
    </r>
    <r>
      <rPr>
        <rFont val="Tahoma"/>
        <i/>
        <color rgb="FF008000"/>
        <sz val="10.0"/>
      </rPr>
      <t xml:space="preserve"> (Spring Boot)
2. Database: SQL Server (seed data applied)
3. Redis: Start Redis container on Docker Desktop
4. Frontend Staff Portal: Vite React at </t>
    </r>
    <r>
      <rPr>
        <rFont val="Tahoma"/>
        <i/>
        <color rgb="FF1155CC"/>
        <sz val="10.0"/>
        <u/>
      </rPr>
      <t>http://localhost:2999</t>
    </r>
    <r>
      <rPr>
        <rFont val="Tahoma"/>
        <i/>
        <color rgb="FF008000"/>
        <sz val="10.0"/>
      </rPr>
      <t xml:space="preserve"> 
5. Frontend Customer Portal: Vite React at </t>
    </r>
    <r>
      <rPr>
        <rFont val="Tahoma"/>
        <i/>
        <color rgb="FF1155CC"/>
        <sz val="10.0"/>
        <u/>
      </rPr>
      <t>https://localhost:3000</t>
    </r>
    <r>
      <rPr>
        <rFont val="Tahoma"/>
        <i/>
        <color rgb="FF008000"/>
        <sz val="10.0"/>
      </rPr>
      <t xml:space="preserve">
6. Web Browser: Any modern browser applicable
7. Payment Gateway (Sepay): Requires an ngrok tunnel pointing to port 9090 for Webhook integration
8. Email Service: Configured via terminal session environment variables (requires Gmail SMTP &amp; App Password)
9. Firebase Integration: Credentials and configurations managed locally via 'application-dev' profile and .env
10. Map &amp; Routing Service (Goong API): API keys and endpoints managed locally via 'application-dev' profile
&gt;</t>
    </r>
  </si>
  <si>
    <t>Number of TCs</t>
  </si>
  <si>
    <t>RCHS</t>
  </si>
  <si>
    <t>Issue Date</t>
  </si>
  <si>
    <t>&lt;12/7/2026&gt;</t>
  </si>
  <si>
    <t>Pending</t>
  </si>
  <si>
    <t>Document Code</t>
  </si>
  <si>
    <t>Testing Round</t>
  </si>
  <si>
    <t>Version</t>
  </si>
  <si>
    <t>1.0.0</t>
  </si>
  <si>
    <t>Reviewer/Approver</t>
  </si>
  <si>
    <t>N/A</t>
  </si>
  <si>
    <t>No</t>
  </si>
  <si>
    <t>Function Name</t>
  </si>
  <si>
    <t>Sheet Name</t>
  </si>
  <si>
    <t>Record of change</t>
  </si>
  <si>
    <t>Description</t>
  </si>
  <si>
    <t>Pre-Condition</t>
  </si>
  <si>
    <t>Effective Date</t>
  </si>
  <si>
    <t>Round 1</t>
  </si>
  <si>
    <t>Change Item</t>
  </si>
  <si>
    <t>*A,D,M</t>
  </si>
  <si>
    <t>Change description</t>
  </si>
  <si>
    <t>Reference</t>
  </si>
  <si>
    <t>As a customer or guest, I want to search trips from the homepage, select a trip, choose seats, enter passenger/itinerary info, and pay via SePay so that my ticket is confirmed, seats are sold, and I receive a confirmation email.</t>
  </si>
  <si>
    <t>&lt;12/07/2026&gt;</t>
  </si>
  <si>
    <t>1. System is running (customer web + backend + DB + Redis + Firebase OTP + SePay + email). 
2. At least one SCHEDULED trip exists with future departure, matching route, and ≥1 AVAILABLE seat. 
3. Route has valid pickup/drop-off stops.</t>
  </si>
  <si>
    <t>All sheets</t>
  </si>
  <si>
    <t>A</t>
  </si>
  <si>
    <t>Initial addition.</t>
  </si>
  <si>
    <t>&lt;List of documents which are refered in this version.&gt;</t>
  </si>
  <si>
    <t>Round 2</t>
  </si>
  <si>
    <t>Cargo Order Booking</t>
  </si>
  <si>
    <t>As ticket staff, trip staff, or an authenticated customer, I want cargo orders to be created, priced, paid, assigned, transported, received, cancelled/refunded, and tracked under strict route, agency, status, and capacity rules.</t>
  </si>
  <si>
    <t>1. Backend, staff portal, customer portal, SQL Server, and payment integration are running.
2. Active origin/destination ticket agencies exist on an ordered route.
3. Active TICKET_STAFF and TRIP_STAFF accounts and a customer account are available.
4. A future SCHEDULED trip with assigned coach/staff and cargo capacity exists.
5. Active cargo types/prices and test payment callbacks are configured.</t>
  </si>
  <si>
    <t>Notes</t>
  </si>
  <si>
    <t>&lt;List modules included in this release&gt; ex: Release 1 includes 2 modules: Module1 and Module2</t>
  </si>
  <si>
    <t>Round 3</t>
  </si>
  <si>
    <t>Test Case ID</t>
  </si>
  <si>
    <t>Test Case Description</t>
  </si>
  <si>
    <t>Test Case Procedure</t>
  </si>
  <si>
    <t>Expected Results</t>
  </si>
  <si>
    <t>Module code</t>
  </si>
  <si>
    <t>Pre-conditions</t>
  </si>
  <si>
    <t>Test date</t>
  </si>
  <si>
    <t>Tester</t>
  </si>
  <si>
    <t>Number of  test cases</t>
  </si>
  <si>
    <t>Note</t>
  </si>
  <si>
    <t>Scenario A: Search trip on Homepage</t>
  </si>
  <si>
    <t>BK-TC-A01</t>
  </si>
  <si>
    <t>Search one-way trips successfully</t>
  </si>
  <si>
    <t>1. Open homepage.
2. Select Điểm đi, Điểm đến, Ngày đi (today or future).
3. Click Tìm lịch trình.</t>
  </si>
  <si>
    <t>Results list is shown for the selected route/date. Trip cards show time, vehicle, remaining seats, price. Trips with seats have Chọn chuyến enabled.</t>
  </si>
  <si>
    <t>Valid route/date with ≥1 bookable SCHEDULED trip.</t>
  </si>
  <si>
    <t>Đức</t>
  </si>
  <si>
    <t>Hà</t>
  </si>
  <si>
    <t>BK-TC-A02</t>
  </si>
  <si>
    <t>Search with no matching trips</t>
  </si>
  <si>
    <t>1. Search a route/date with no future SCHEDULED trips (or no seats).</t>
  </si>
  <si>
    <t>Empty/no-result state is shown (or no enabled Chọn chuyến). User stays on homepage results area.</t>
  </si>
  <si>
    <t>No matching bookable trip for that search.</t>
  </si>
  <si>
    <t>BK-TC-A03</t>
  </si>
  <si>
    <t>Reject past departure date</t>
  </si>
  <si>
    <t>1. Choose a past date.
2. Click Tìm lịch trình.</t>
  </si>
  <si>
    <t>System blocks from searching from a past date.</t>
  </si>
  <si>
    <t>BK-TC-A04</t>
  </si>
  <si>
    <t>View pickup/drop-off stops of a trip</t>
  </si>
  <si>
    <t>1. Perform A01 search.
2. On a trip card, click Xem điểm đón trả.</t>
  </si>
  <si>
    <t>Stop timeline modal opens with the trip’s boarding points.</t>
  </si>
  <si>
    <t>Trip has route stops configured.</t>
  </si>
  <si>
    <t>Scenario B: Select trip and enter booking</t>
  </si>
  <si>
    <t>BK-TC-B01</t>
  </si>
  <si>
    <t>Select trip and open seat selection</t>
  </si>
  <si>
    <t>1. Complete A01.
2. Click Chọn chuyến on a trip with remaining seats.</t>
  </si>
  <si>
    <t>Navigate to Booking page. Step 1 of "Chọn ghế ngồi" is active. Trip summary (route/date) is shown.</t>
  </si>
  <si>
    <t>Trip has availableSeats &gt; 0.</t>
  </si>
  <si>
    <t>BK-TC-B02</t>
  </si>
  <si>
    <t>Cannot open booking without selecting from search</t>
  </si>
  <si>
    <t>1. Open /booking/trip/{tripId} directly without search navigation state.</t>
  </si>
  <si>
    <t>User is redirected to homepage /. Booking wizard does not start.</t>
  </si>
  <si>
    <t>Known valid tripId.</t>
  </si>
  <si>
    <t>Scenario  C: Select seats (Step 1)</t>
  </si>
  <si>
    <t>BK-TC-C01</t>
  </si>
  <si>
    <t>Select and lock seats successfully</t>
  </si>
  <si>
    <t>1. From B01, select 1–2 AVAILABLE seats.
2. Click Tiếp tục.</t>
  </si>
  <si>
    <t>Move to Step 2 Thông tin lịch trình. Selected seats are held for the session (other users see them locked).</t>
  </si>
  <si>
    <t>Seats are AVAILABLE.</t>
  </si>
  <si>
    <t>BK-TC-C02</t>
  </si>
  <si>
    <t>Cannot continue without selecting a seat</t>
  </si>
  <si>
    <t>1. On Step 1, do not select any seat.
2. Try Tiếp tục.</t>
  </si>
  <si>
    <t>Cannot proceed to Step 2; system requires seat selection.</t>
  </si>
  <si>
    <t>On Step 1.</t>
  </si>
  <si>
    <t>BK-TC-C03</t>
  </si>
  <si>
    <t>Seat already taken by another session</t>
  </si>
  <si>
    <t>1. User A locks a seat.
2. User B selects the same seat and clicks Tiếp tục.</t>
  </si>
  <si>
    <t>User B gets error that seat is unavailable; seat map refreshes; B stays on Step 1 / selection cleared.</t>
  </si>
  <si>
    <t>Concurrent sessions; seat held/sold.</t>
  </si>
  <si>
    <t>Scenario D: Enter passenger &amp; itinerary info (Step 2)</t>
  </si>
  <si>
    <t>Sub total</t>
  </si>
  <si>
    <t>BK-TC-D01</t>
  </si>
  <si>
    <t>Fill passenger info and stops successfully</t>
  </si>
  <si>
    <t>1. From C01, fill full name, phone, email for each seat.
2. Select Điểm đón and Điểm trả.
3. Check terms checkbox.
4. Do not click pay yet.</t>
  </si>
  <si>
    <t>Price summary updates for selected itinerary. Form is ready for payment (no blocking error).</t>
  </si>
  <si>
    <t>Valid hold session; valid distinct pickup before drop-off.</t>
  </si>
  <si>
    <t>BK-TC-D02</t>
  </si>
  <si>
    <t>Cannot pay without accepting terms</t>
  </si>
  <si>
    <t>1. Fill valid passenger/stop data.
2. Leave terms unchecked.
3. Click Thanh toán.</t>
  </si>
  <si>
    <t>Submit blocked with terms validation message.</t>
  </si>
  <si>
    <t>On Step 2.</t>
  </si>
  <si>
    <t>Test coverage</t>
  </si>
  <si>
    <t>BK-TC-D03</t>
  </si>
  <si>
    <t>Logged-in customer sees profile prefilled</t>
  </si>
  <si>
    <t>1. Login as CUSTOMER.
2. Book to Step 2.</t>
  </si>
  <si>
    <t>First passenger fields are prefilled from profile (where applicable).</t>
  </si>
  <si>
    <t>Customer account has profile name/phone/email.</t>
  </si>
  <si>
    <t>%</t>
  </si>
  <si>
    <t>Scenario E: Verify phone OTP (Step 2)</t>
  </si>
  <si>
    <t>Test successful coverage</t>
  </si>
  <si>
    <t>BK-TC-E01</t>
  </si>
  <si>
    <t>Known phone skips OTP</t>
  </si>
  <si>
    <t>1. On Step 2, enter a phone already known by the system.
2. Leave the field.</t>
  </si>
  <si>
    <t>Phone shown as known/verified; OTP modal not required for that phone.</t>
  </si>
  <si>
    <t>Phone exists in account/customer/prior confirmed ticket.</t>
  </si>
  <si>
    <t>BK-TC-E02</t>
  </si>
  <si>
    <t>Unknown phone requires OTP before pay</t>
  </si>
  <si>
    <t>1. Enter a brand-new phone.
2. Complete OTP successfully.
3. Click Thanh toán (with other fields valid).</t>
  </si>
  <si>
    <t>OTP modal appears until verified; after OTP success, confirm is allowed.</t>
  </si>
  <si>
    <t>Phone never used in system; Firebase OTP works.</t>
  </si>
  <si>
    <t>BK-TC-E03</t>
  </si>
  <si>
    <t>Block pay when OTP not verified</t>
  </si>
  <si>
    <t>1. Enter unknown phone.
2. Close/skip OTP.
3. Click Thanh toán.</t>
  </si>
  <si>
    <t>System blocks with OTP-required message; no payment page created.</t>
  </si>
  <si>
    <t>Unknown phone; OTP not completed.</t>
  </si>
  <si>
    <t>Scenario F: Apply voucher (logged-in customer) (Step 2)</t>
  </si>
  <si>
    <t>BK-TC-F01</t>
  </si>
  <si>
    <t>Apply valid voucher and reduce payable amount</t>
  </si>
  <si>
    <t>1. Login as CUSTOMER.
2. Reach Step 2.
3. Apply a valid unused voucher.
4. Proceed to payment.</t>
  </si>
  <si>
    <t>Discount appears in price breakdown. Payment page amount equals discounted total.</t>
  </si>
  <si>
    <t>Eligible voucher; order meets min value; customer logged in.</t>
  </si>
  <si>
    <t>BK-TC-F02</t>
  </si>
  <si>
    <t>Guest cannot apply voucher</t>
  </si>
  <si>
    <t>1. Book as guest to Step 2.</t>
  </si>
  <si>
    <t>Voucher input is not available / login warning shown. Confirm proceeds without voucher.</t>
  </si>
  <si>
    <t>Guest session.</t>
  </si>
  <si>
    <t>Scenario G: Confirm booking &amp; open payment page</t>
  </si>
  <si>
    <t>BK-TC-G01</t>
  </si>
  <si>
    <t>Confirm booking creates pending payment</t>
  </si>
  <si>
    <t>1. Complete Step 2 with valid data (+ OTP if needed).
2. Click Thanh toán.</t>
  </si>
  <si>
    <t>Navigate to /booking/payment/{transactionId}. Ticket/payment are pending. Payment page shows ticket code, seats, amount, SePay QR, transfer content = transactionId, ~15-min countdown.</t>
  </si>
  <si>
    <t>Valid Step 2 data; seat hold still active.</t>
  </si>
  <si>
    <t>BK-TC-G02</t>
  </si>
  <si>
    <t>Re-open same trip redirects to pending payment</t>
  </si>
  <si>
    <t>1. After G01, without paying, go again to book the same trip.</t>
  </si>
  <si>
    <t>System redirects to the existing payment page instead of starting a new seat selection.</t>
  </si>
  <si>
    <t>Pending payment for that trip exists in current session.</t>
  </si>
  <si>
    <t>Scenario H: Make payment (Step 3)</t>
  </si>
  <si>
    <t>BK-TC-H01</t>
  </si>
  <si>
    <t>Pay successfully via SePay (end-to-end)</t>
  </si>
  <si>
    <t>1. From G01, scan QR to pay.
2. Wait for payment status update.</t>
  </si>
  <si>
    <t>Success message shown; QR hidden; auto-redirect homepage ~15s. Business state: Payment COMPLETED; Ticket CONFIRMED; details CONFIRMED with boarding QR; seats SOLD; confirmation email sent to passenger email.</t>
  </si>
  <si>
    <t>Pending payment; SePay webhook/test transfer available; mail configured.</t>
  </si>
  <si>
    <t>BK-TC-H02</t>
  </si>
  <si>
    <t>Payment expires when not paid in time</t>
  </si>
  <si>
    <t>1. Create pending payment (G01).
2. Do not transfer money.
3. Wait until countdown ends / payment expires.</t>
  </si>
  <si>
    <t>Expired/failed payment message. Business state: Payment FAILED; Ticket CANCELLED; details EXPIRED; seats back to AVAILABLE.</t>
  </si>
  <si>
    <t>Pending payment; wait full payment window (~15 min) or use test expire path.</t>
  </si>
  <si>
    <t>BK-TC-H03</t>
  </si>
  <si>
    <t>Cancel pending payment by user</t>
  </si>
  <si>
    <t>1. On payment page, click Hủy thanh toán.
2. Confirm cancel.</t>
  </si>
  <si>
    <t>Payment shown failed/cancelled. Business state: Payment FAILED; Ticket CANCELLED; seats AVAILABLE; user can book again.</t>
  </si>
  <si>
    <t>Pending payment with cancel permission (session cancel token / owner).</t>
  </si>
  <si>
    <t>BK-TC-H04</t>
  </si>
  <si>
    <t>Underpaid transfer does not confirm ticket</t>
  </si>
  <si>
    <t>1. From G01, transfer amount less than required.
2. Observe status within payment window.</t>
  </si>
  <si>
    <t>Payment stays pending (not confirmed). Ticket remains PENDING until later expiry/cancel.</t>
  </si>
  <si>
    <t>Ability to send underpaid SePay webhook/transfer.</t>
  </si>
  <si>
    <t>Cargo Booking</t>
  </si>
  <si>
    <t>Scenario A: Access and cargo workspace</t>
  </si>
  <si>
    <t>CG-TC-A01</t>
  </si>
  <si>
    <t>Ticket staff can open Cargo Booking</t>
  </si>
  <si>
    <t>1. Sign in as an active TICKET_STAFF account.
2. Open /staff/cargo-tickets.</t>
  </si>
  <si>
    <t>Cargo operations page opens and displays Gửi hàng and Kiểm tra hàng. No authorization error is shown.</t>
  </si>
  <si>
    <t>Active TICKET_STAFF account linked to an active ticket agency.</t>
  </si>
  <si>
    <t>CG-TC-A02</t>
  </si>
  <si>
    <t>Reject unauthorized roles</t>
  </si>
  <si>
    <t>1. Sign in as CUSTOMER, MANAGER, or TRIP_STAFF.
2. Request /api/v1/ticket-staff/cargo-tickets.</t>
  </si>
  <si>
    <t>Request is rejected with HTTP 403 and no cargo data is disclosed.</t>
  </si>
  <si>
    <t>A valid account without the TICKET_STAFF role.</t>
  </si>
  <si>
    <t>CG-TC-A03</t>
  </si>
  <si>
    <t>Separate send and destination-receipt workflows</t>
  </si>
  <si>
    <t>1. Open Cargo Booking.
2. Select Gửi hàng, return, then select Kiểm tra hàng.</t>
  </si>
  <si>
    <t>Gửi hàng opens the waiting-order/upcoming-trip workflow. Kiểm tra hàng opens the receiving-trip/history workflow.</t>
  </si>
  <si>
    <t>A01 completed.</t>
  </si>
  <si>
    <t>Scenario B: Route, stop, and trip options</t>
  </si>
  <si>
    <t>CG-TC-B01</t>
  </si>
  <si>
    <t>Lock pickup to the current ticket agency</t>
  </si>
  <si>
    <t>1. Open Tạo đơn mới.
2. Inspect the pickup office.
3. Attempt to change pickup through the UI or request payload.</t>
  </si>
  <si>
    <t>Pickup is displayed read-only and remains the authenticated staff member's active agency stop.</t>
  </si>
  <si>
    <t>Ticket staff is linked to an active agency and stop.</t>
  </si>
  <si>
    <t>CG-TC-B02</t>
  </si>
  <si>
    <t>Show only valid downstream destination offices</t>
  </si>
  <si>
    <t>1. Open Tạo đơn mới.
2. Open the Điểm trả list.</t>
  </si>
  <si>
    <t>Only later stops on the selected route, in another city, with an active ticket office are selectable. Pickup, same-city, intermediate non-office, and reverse stops are absent.</t>
  </si>
  <si>
    <t>Route contains ordered stops including office and non-office stops.</t>
  </si>
  <si>
    <t>CG-TC-B03</t>
  </si>
  <si>
    <t>List eligible scheduled trips and allow deferred assignment</t>
  </si>
  <si>
    <t>1. Select a valid destination.
2. Open Chuyến đi phù hợp.
3. Leave the trip unselected.</t>
  </si>
  <si>
    <t>Only direction-compatible trips that have not started are listed. The form remains valid with Gán chuyến sau selected.</t>
  </si>
  <si>
    <t>At least one future SCHEDULED trip matches the ordered stops.</t>
  </si>
  <si>
    <t>CG-TC-B04</t>
  </si>
  <si>
    <t>Reject agency-less, reversed, or started-trip routing</t>
  </si>
  <si>
    <t>1. Submit cargo using an agency-less stop, reversed stop order, or IN_PROGRESS trip.
2. Repeat with valid offices and a SCHEDULED trip.</t>
  </si>
  <si>
    <t>Invalid routing is rejected with a business error and no order is created. The valid routing request is accepted.</t>
  </si>
  <si>
    <t>Test data contains both invalid and valid stop/trip combinations.</t>
  </si>
  <si>
    <t>Scenario C: Create cargo order</t>
  </si>
  <si>
    <t>CG-TC-C01</t>
  </si>
  <si>
    <t>Create receiver-paid order without a trip</t>
  </si>
  <si>
    <t>1. Enter valid sender/receiver data and at least one cargo item.
2. Choose Người nhận and leave trip unassigned.
3. Save.</t>
  </si>
  <si>
    <t>Order is created with a unique code, status RECEIVED, tripId null, derived total, and no payment method selected until destination receipt.</t>
  </si>
  <si>
    <t>Active price and cargo-type data; valid agency route.</t>
  </si>
  <si>
    <t>CG-TC-C02</t>
  </si>
  <si>
    <t>Create sender cash-paid order</t>
  </si>
  <si>
    <t>1. Enter a valid unassigned order.
2. Choose Người gửi and Tiền mặt.
3. Save.</t>
  </si>
  <si>
    <t>Order is RECEIVED. A payment equal to the derived total is created and immediately COMPLETED.</t>
  </si>
  <si>
    <t>Valid cargo form and active ticket staff.</t>
  </si>
  <si>
    <t>CG-TC-C03</t>
  </si>
  <si>
    <t>Create sender bank-transfer order for later assignment</t>
  </si>
  <si>
    <t>1. Enter a valid order without selecting a trip.
2. Choose Người gửi and Chuyển khoản.
3. Save.</t>
  </si>
  <si>
    <t>Order is RECEIVED with tripId null. Payment is PENDING and a bank-transfer QR/transaction reference is returned; assignment remains unavailable until payment completes.</t>
  </si>
  <si>
    <t>SePay bank configuration is available.</t>
  </si>
  <si>
    <t>CG-TC-C04</t>
  </si>
  <si>
    <t>Reject sender bank transfer when a trip is preselected</t>
  </si>
  <si>
    <t>1. Select a SCHEDULED trip.
2. Choose Người gửi and Chuyển khoản.
3. Save.</t>
  </si>
  <si>
    <t>Creation is rejected with guidance to create without a trip, complete payment, then assign the trip. No order or capacity reservation is created.</t>
  </si>
  <si>
    <t>Valid SCHEDULED trip and otherwise valid form.</t>
  </si>
  <si>
    <t>CG-TC-C05</t>
  </si>
  <si>
    <t>Validate required contact and cargo fields</t>
  </si>
  <si>
    <t>1. Submit with each required value missing/invalid in turn: names, phones, cargo type, quantity, weight, dimensions, or volume.
2. Try an order with zero items.</t>
  </si>
  <si>
    <t>Save remains disabled or the API returns field errors. No partial ticket, detail, or payment is persisted.</t>
  </si>
  <si>
    <t>Create form is open.</t>
  </si>
  <si>
    <t>CG-TC-C06</t>
  </si>
  <si>
    <t>Create an order with multiple cargo items atomically</t>
  </si>
  <si>
    <t>1. Add two valid cargo rows with different types and quantities.
2. Save.
3. Open order details.</t>
  </si>
  <si>
    <t>One ticket and both detail rows are stored in one transaction. Each detail has a calculated price and the ticket total equals the sum of all detail prices.</t>
  </si>
  <si>
    <t>Two active cargo-type price records.</t>
  </si>
  <si>
    <t>CG-TC-E01</t>
  </si>
  <si>
    <t>Complete sender bank payment before assignment</t>
  </si>
  <si>
    <t>1. Create a sender bank-transfer order.
2. Complete the configured payment callback.
3. Refresh the waiting queue.</t>
  </si>
  <si>
    <t>Payment changes PENDING → COMPLETED and the order becomes eligible for trip assignment.</t>
  </si>
  <si>
    <t>C03 completed; payment callback/test mechanism available.</t>
  </si>
  <si>
    <t>CG-TC-E02</t>
  </si>
  <si>
    <t>Block unpaid sender order from assignment and loading</t>
  </si>
  <si>
    <t>1. Keep sender bank payment PENDING.
2. Query assignable cargo and attempt assignment/loading.</t>
  </si>
  <si>
    <t>Order is absent from the assignable board; direct assignment and load attempts are rejected. Status remains RECEIVED.</t>
  </si>
  <si>
    <t>Sender-paid order with PENDING payment.</t>
  </si>
  <si>
    <t>CG-TC-E03</t>
  </si>
  <si>
    <t>Allow receiver-paid order to travel while unpaid</t>
  </si>
  <si>
    <t>1. Create a receiver-paid order.
2. Assign it to an eligible trip.
3. Load it.</t>
  </si>
  <si>
    <t>Pending destination payment does not block assignment or loading. Payment is selected/collected at destination.</t>
  </si>
  <si>
    <t>Receiver-paid RECEIVED order and eligible trip.</t>
  </si>
  <si>
    <t>CG-TC-E04</t>
  </si>
  <si>
    <t>Collect receiver cash during delivery</t>
  </si>
  <si>
    <t>1. Unload a receiver-paid order at destination.
2. Select Tiền mặt.
3. Confirm receipt.</t>
  </si>
  <si>
    <t>A cash payment is created/completed and the cargo status changes ARRIVED → DELIVERED atomically.</t>
  </si>
  <si>
    <t>ARRIVED receiver-paid order at the staff member's destination office.</t>
  </si>
  <si>
    <t>CG-TC-E05</t>
  </si>
  <si>
    <t>Block delivery until receiver bank transfer completes</t>
  </si>
  <si>
    <t>1. For ARRIVED receiver-paid cargo, select Chuyển khoản.
2. Confirm before payment.
3. Complete transfer and confirm again.</t>
  </si>
  <si>
    <t>First confirmation is rejected and status stays ARRIVED. After payment becomes COMPLETED, confirmation succeeds and status becomes DELIVERED.</t>
  </si>
  <si>
    <t>ARRIVED receiver-paid order; payment integration available.</t>
  </si>
  <si>
    <t>Scenario E: Payment lifecycle</t>
  </si>
  <si>
    <t>Scenario F: Waiting queue, update, cancellation, and lookup</t>
  </si>
  <si>
    <t>CG-TC-F01</t>
  </si>
  <si>
    <t>Filter and inspect the agency waiting queue</t>
  </si>
  <si>
    <t>1. Open Gửi hàng → Đơn hàng đang chờ.
2. Filter/page the list.
3. Open one order.</t>
  </si>
  <si>
    <t>Only non-abandoned orders operationally owned by the current agency are shown. Details display parties, route, items, volume, payment, and responsibility data.</t>
  </si>
  <si>
    <t>Current agency has RECEIVED orders.</t>
  </si>
  <si>
    <t>CG-TC-F02</t>
  </si>
  <si>
    <t>Update only editable unpaid RECEIVED orders</t>
  </si>
  <si>
    <t>1. Edit an unpaid RECEIVED order and save valid changes.
2. Try changing fee payer, payment method, or total-driving details after payment COMPLETED.</t>
  </si>
  <si>
    <t>Valid unpaid update succeeds and derived totals synchronize. Paid money-field changes and updates outside RECEIVED are rejected.</t>
  </si>
  <si>
    <t>One unpaid and one paid cargo order.</t>
  </si>
  <si>
    <t>CG-TC-F03</t>
  </si>
  <si>
    <t>Cancel pending and paid waiting orders safely</t>
  </si>
  <si>
    <t>1. Cancel a RECEIVED order with PENDING payment.
2. Cancel a RECEIVED order with COMPLETED payment.</t>
  </si>
  <si>
    <t>Both orders become CANCELLED. Pending payment becomes FAILED. Completed payment creates a PENDING refund request instead of silently reversing money.</t>
  </si>
  <si>
    <t>Two editable RECEIVED orders with the specified payment states.</t>
  </si>
  <si>
    <t>CG-TC-F04</t>
  </si>
  <si>
    <t>Customer views owned cargo history and route</t>
  </si>
  <si>
    <t>1. Sign in as the customer linked to a cargo order.
2. Open cargo history.
3. Open details and route.</t>
  </si>
  <si>
    <t>Only the authenticated customer's orders are returned. Detail shows stops, parties, cargo items, price/COD/status and assigned coach/staff when available.</t>
  </si>
  <si>
    <t>Customer account is associated with at least one cargo order.</t>
  </si>
  <si>
    <t>Scenario G: Trip assignment and coach handoff</t>
  </si>
  <si>
    <t>CG-TC-G01</t>
  </si>
  <si>
    <t>Batch-assign eligible orders to a scheduled trip</t>
  </si>
  <si>
    <t>1. Open an upcoming trip.
2. Select eligible unassigned orders within remaining capacity.
3. Click Gán vào chuyến.</t>
  </si>
  <si>
    <t>Each selected order receives the tripId once; assigned count and used volume refresh. Wrong-agency, reverse-route, empty, unpaid-sender, and already-assigned orders are excluded/rejected.</t>
  </si>
  <si>
    <t>SCHEDULED trip and a mixture of eligible/ineligible RECEIVED orders.</t>
  </si>
  <si>
    <t>CG-TC-G02</t>
  </si>
  <si>
    <t>Reject assignment after trip starts or above capacity</t>
  </si>
  <si>
    <t>1. Attempt batch assignment to an IN_PROGRESS trip.
2. Attempt assignment whose total exceeds remaining capacity.</t>
  </si>
  <si>
    <t>Both requests are rejected atomically; no selected ticket receives the trip and used volume is unchanged.</t>
  </si>
  <si>
    <t>Started trip and nearly full scheduled trip.</t>
  </si>
  <si>
    <t>CG-TC-G03</t>
  </si>
  <si>
    <t>Trip staff loads and unloads cargo in order</t>
  </si>
  <si>
    <t>1. As assigned TRIP_STAFF, load a paid/receiver-paid RECEIVED order.
2. Attempt duplicate load or unload-before-load.
3. Unload the LOADED order.</t>
  </si>
  <si>
    <t>Valid transitions are RECEIVED → LOADED → ARRIVED with loadedBy/unloadedBy recorded. Wrong trip and out-of-order operations are rejected.</t>
  </si>
  <si>
    <t>Order is assigned to the staff member's trip and passes payment gate.</t>
  </si>
  <si>
    <t>Scenario H: Destination receipt and end-to-end state</t>
  </si>
  <si>
    <t>CG-TC-H01</t>
  </si>
  <si>
    <t>Destination office sees only its arrived cargo</t>
  </si>
  <si>
    <t>1. As destination TICKET_STAFF, open Kiểm tra hàng.
2. Select a receiving coach.</t>
  </si>
  <si>
    <t>Only coaches with ARRIVED orders for the current destination office are listed. Selecting a coach shows only that trip's ARRIVED queue.</t>
  </si>
  <si>
    <t>At least one trip has unloaded cargo for the current office.</t>
  </si>
  <si>
    <t>CG-TC-H02</t>
  </si>
  <si>
    <t>Complete cargo booking end to end</t>
  </si>
  <si>
    <t>1. Create a valid order.
2. Complete required sender payment.
3. Assign trip.
4. Load and unload cargo.
5. Complete required receiver payment.
6. Confirm destination receipt.</t>
  </si>
  <si>
    <t>State sequence is RECEIVED → LOADED → ARRIVED → DELIVERED. Payment/refund rules, agency ownership, capacity, responsible staff, order details, and customer history remain consistent.</t>
  </si>
  <si>
    <t>Origin/destination ticket staff, trip staff, customer, eligible trip, price data, and payment integration.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</si>
</sst>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\-mmm\-yy"/>
    <numFmt numFmtId="165" formatCode="dd/mm/yyyy"/>
  </numFmts>
  <fonts count="22">
    <font>
      <sz val="11.0"/>
      <color rgb="FF000000"/>
      <name val="MS PGothic"/>
      <scheme val="minor"/>
    </font>
    <font>
      <sz val="10.0"/>
      <color theme="1"/>
      <name val="Tahoma"/>
    </font>
    <font>
      <b/>
      <sz val="20.0"/>
      <color rgb="FF000000"/>
      <name val="Tahoma"/>
    </font>
    <font>
      <b/>
      <sz val="10.0"/>
      <color rgb="FF000000"/>
      <name val="Tahoma"/>
    </font>
    <font/>
    <font>
      <sz val="10.0"/>
      <color rgb="FFFF0000"/>
      <name val="Tahoma"/>
    </font>
    <font>
      <b/>
      <sz val="10.0"/>
      <color rgb="FFFF0000"/>
      <name val="Tahoma"/>
    </font>
    <font>
      <b/>
      <sz val="10.0"/>
      <color theme="1"/>
      <name val="Tahoma"/>
    </font>
    <font>
      <i/>
      <sz val="10.0"/>
      <color rgb="FF008000"/>
      <name val="Tahoma"/>
    </font>
    <font>
      <b/>
      <sz val="26.0"/>
      <color rgb="FFFF0000"/>
      <name val="Tahoma"/>
    </font>
    <font>
      <b/>
      <sz val="10.0"/>
      <color rgb="FF993300"/>
      <name val="Tahoma"/>
    </font>
    <font>
      <sz val="10.0"/>
      <color rgb="FF000000"/>
      <name val="Tahoma"/>
    </font>
    <font>
      <i/>
      <sz val="10.0"/>
      <color theme="1"/>
      <name val="Tahoma"/>
    </font>
    <font>
      <i/>
      <u/>
      <sz val="10.0"/>
      <color rgb="FF008000"/>
      <name val="Tahoma"/>
    </font>
    <font>
      <b/>
      <i/>
      <sz val="10.0"/>
      <color theme="1"/>
      <name val="Tahoma"/>
    </font>
    <font>
      <b/>
      <sz val="10.0"/>
      <color rgb="FFFFFFFF"/>
      <name val="Tahoma"/>
    </font>
    <font>
      <u/>
      <sz val="11.0"/>
      <color rgb="FF0000FF"/>
      <name val="MS PGothic"/>
    </font>
    <font>
      <sz val="11.0"/>
      <color theme="1"/>
      <name val="MS PGothic"/>
    </font>
    <font>
      <sz val="10.0"/>
      <color theme="1"/>
      <name val="Arial"/>
    </font>
    <font>
      <sz val="10.0"/>
      <color rgb="FFFFFFFF"/>
      <name val="Tahoma"/>
    </font>
    <font>
      <b/>
      <sz val="10.0"/>
      <color rgb="FF0000FF"/>
      <name val="Tahoma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33399"/>
        <bgColor rgb="FF333399"/>
      </patternFill>
    </fill>
    <fill>
      <patternFill patternType="solid">
        <fgColor rgb="FF000080"/>
        <bgColor rgb="FF000080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</fills>
  <borders count="4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/>
      <bottom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right/>
      <top/>
    </border>
    <border>
      <left/>
      <right/>
      <bottom/>
    </border>
  </borders>
  <cellStyleXfs count="1">
    <xf borderId="0" fillId="0" fontId="0" numFmtId="0" applyAlignment="1" applyFont="1"/>
  </cellStyleXfs>
  <cellXfs count="15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1" xfId="0" applyBorder="1" applyFont="1" applyNumberFormat="1"/>
    <xf borderId="1" fillId="2" fontId="1" numFmtId="0" xfId="0" applyAlignment="1" applyBorder="1" applyFont="1">
      <alignment horizontal="left"/>
    </xf>
    <xf borderId="1" fillId="2" fontId="2" numFmtId="0" xfId="0" applyAlignment="1" applyBorder="1" applyFont="1">
      <alignment horizontal="left"/>
    </xf>
    <xf borderId="2" fillId="2" fontId="2" numFmtId="0" xfId="0" applyAlignment="1" applyBorder="1" applyFont="1">
      <alignment horizontal="center"/>
    </xf>
    <xf borderId="1" fillId="2" fontId="3" numFmtId="0" xfId="0" applyAlignment="1" applyBorder="1" applyFont="1">
      <alignment horizontal="left"/>
    </xf>
    <xf borderId="3" fillId="0" fontId="4" numFmtId="0" xfId="0" applyBorder="1" applyFont="1"/>
    <xf borderId="0" fillId="0" fontId="1" numFmtId="0" xfId="0" applyAlignment="1" applyFont="1">
      <alignment horizontal="left"/>
    </xf>
    <xf borderId="4" fillId="0" fontId="4" numFmtId="0" xfId="0" applyBorder="1" applyFont="1"/>
    <xf borderId="0" fillId="0" fontId="1" numFmtId="0" xfId="0" applyFont="1"/>
    <xf borderId="1" fillId="2" fontId="5" numFmtId="0" xfId="0" applyBorder="1" applyFont="1"/>
    <xf borderId="1" fillId="2" fontId="6" numFmtId="0" xfId="0" applyAlignment="1" applyBorder="1" applyFont="1">
      <alignment horizontal="left"/>
    </xf>
    <xf borderId="5" fillId="2" fontId="7" numFmtId="0" xfId="0" applyAlignment="1" applyBorder="1" applyFont="1">
      <alignment horizontal="center" shrinkToFit="0" vertical="top" wrapText="1"/>
    </xf>
    <xf borderId="6" fillId="2" fontId="1" numFmtId="0" xfId="0" applyAlignment="1" applyBorder="1" applyFont="1">
      <alignment horizontal="left" readingOrder="0" shrinkToFit="0" vertical="top" wrapText="1"/>
    </xf>
    <xf borderId="7" fillId="0" fontId="4" numFmtId="0" xfId="0" applyBorder="1" applyFont="1"/>
    <xf borderId="8" fillId="0" fontId="4" numFmtId="0" xfId="0" applyBorder="1" applyFont="1"/>
    <xf borderId="1" fillId="2" fontId="8" numFmtId="0" xfId="0" applyAlignment="1" applyBorder="1" applyFont="1">
      <alignment shrinkToFit="0" wrapText="1"/>
    </xf>
    <xf borderId="9" fillId="0" fontId="9" numFmtId="0" xfId="0" applyAlignment="1" applyBorder="1" applyFont="1">
      <alignment horizontal="center" vertical="center"/>
    </xf>
    <xf borderId="1" fillId="2" fontId="8" numFmtId="0" xfId="0" applyAlignment="1" applyBorder="1" applyFont="1">
      <alignment horizontal="left" shrinkToFit="0" wrapText="1"/>
    </xf>
    <xf borderId="9" fillId="2" fontId="10" numFmtId="1" xfId="0" applyBorder="1" applyFont="1" applyNumberFormat="1"/>
    <xf borderId="1" fillId="2" fontId="1" numFmtId="0" xfId="0" applyAlignment="1" applyBorder="1" applyFont="1">
      <alignment shrinkToFit="0" wrapText="1"/>
    </xf>
    <xf borderId="1" fillId="2" fontId="7" numFmtId="0" xfId="0" applyBorder="1" applyFont="1"/>
    <xf borderId="10" fillId="0" fontId="4" numFmtId="0" xfId="0" applyBorder="1" applyFont="1"/>
    <xf borderId="9" fillId="0" fontId="2" numFmtId="0" xfId="0" applyAlignment="1" applyBorder="1" applyFont="1">
      <alignment horizontal="center" vertical="center"/>
    </xf>
    <xf borderId="11" fillId="0" fontId="4" numFmtId="0" xfId="0" applyBorder="1" applyFont="1"/>
    <xf borderId="12" fillId="0" fontId="4" numFmtId="0" xfId="0" applyBorder="1" applyFont="1"/>
    <xf borderId="0" fillId="0" fontId="1" numFmtId="0" xfId="0" applyAlignment="1" applyFont="1">
      <alignment horizontal="center" vertical="center"/>
    </xf>
    <xf borderId="1" fillId="2" fontId="1" numFmtId="164" xfId="0" applyBorder="1" applyFont="1" applyNumberFormat="1"/>
    <xf borderId="1" fillId="2" fontId="5" numFmtId="0" xfId="0" applyAlignment="1" applyBorder="1" applyFont="1">
      <alignment shrinkToFit="0" wrapText="1"/>
    </xf>
    <xf borderId="9" fillId="2" fontId="8" numFmtId="0" xfId="0" applyAlignment="1" applyBorder="1" applyFont="1">
      <alignment horizontal="left"/>
    </xf>
    <xf borderId="1" fillId="2" fontId="11" numFmtId="0" xfId="0" applyBorder="1" applyFont="1"/>
    <xf borderId="1" fillId="2" fontId="10" numFmtId="0" xfId="0" applyAlignment="1" applyBorder="1" applyFont="1">
      <alignment horizontal="left"/>
    </xf>
    <xf borderId="0" fillId="0" fontId="8" numFmtId="0" xfId="0" applyAlignment="1" applyFont="1">
      <alignment horizontal="left"/>
    </xf>
    <xf borderId="13" fillId="2" fontId="7" numFmtId="0" xfId="0" applyAlignment="1" applyBorder="1" applyFont="1">
      <alignment horizontal="center" shrinkToFit="0" vertical="top" wrapText="1"/>
    </xf>
    <xf borderId="9" fillId="2" fontId="1" numFmtId="0" xfId="0" applyAlignment="1" applyBorder="1" applyFont="1">
      <alignment horizontal="left" shrinkToFit="0" vertical="top" wrapText="1"/>
    </xf>
    <xf borderId="14" fillId="0" fontId="4" numFmtId="0" xfId="0" applyBorder="1" applyFont="1"/>
    <xf borderId="15" fillId="2" fontId="7" numFmtId="0" xfId="0" applyAlignment="1" applyBorder="1" applyFont="1">
      <alignment horizontal="left"/>
    </xf>
    <xf borderId="15" fillId="2" fontId="10" numFmtId="0" xfId="0" applyAlignment="1" applyBorder="1" applyFont="1">
      <alignment horizontal="left" vertical="center"/>
    </xf>
    <xf borderId="9" fillId="0" fontId="12" numFmtId="0" xfId="0" applyAlignment="1" applyBorder="1" applyFont="1">
      <alignment horizontal="left"/>
    </xf>
    <xf borderId="9" fillId="2" fontId="10" numFmtId="1" xfId="0" applyAlignment="1" applyBorder="1" applyFont="1" applyNumberFormat="1">
      <alignment shrinkToFit="0" vertical="center" wrapText="1"/>
    </xf>
    <xf borderId="12" fillId="0" fontId="1" numFmtId="0" xfId="0" applyAlignment="1" applyBorder="1" applyFont="1">
      <alignment readingOrder="0"/>
    </xf>
    <xf borderId="9" fillId="2" fontId="8" numFmtId="0" xfId="0" applyAlignment="1" applyBorder="1" applyFont="1">
      <alignment horizontal="left" vertical="center"/>
    </xf>
    <xf borderId="9" fillId="2" fontId="10" numFmtId="0" xfId="0" applyAlignment="1" applyBorder="1" applyFont="1">
      <alignment horizontal="left" vertical="center"/>
    </xf>
    <xf borderId="16" fillId="2" fontId="10" numFmtId="0" xfId="0" applyAlignment="1" applyBorder="1" applyFont="1">
      <alignment horizontal="left" vertical="center"/>
    </xf>
    <xf borderId="9" fillId="2" fontId="13" numFmtId="0" xfId="0" applyAlignment="1" applyBorder="1" applyFont="1">
      <alignment readingOrder="0" shrinkToFit="0" vertical="center" wrapText="1"/>
    </xf>
    <xf borderId="12" fillId="0" fontId="12" numFmtId="0" xfId="0" applyAlignment="1" applyBorder="1" applyFont="1">
      <alignment readingOrder="0"/>
    </xf>
    <xf borderId="15" fillId="2" fontId="8" numFmtId="0" xfId="0" applyAlignment="1" applyBorder="1" applyFont="1">
      <alignment vertical="center"/>
    </xf>
    <xf borderId="1" fillId="2" fontId="10" numFmtId="1" xfId="0" applyBorder="1" applyFont="1" applyNumberFormat="1"/>
    <xf borderId="15" fillId="2" fontId="7" numFmtId="0" xfId="0" applyAlignment="1" applyBorder="1" applyFont="1">
      <alignment vertical="center"/>
    </xf>
    <xf borderId="13" fillId="2" fontId="14" numFmtId="0" xfId="0" applyAlignment="1" applyBorder="1" applyFont="1">
      <alignment horizontal="center" shrinkToFit="0" vertical="top" wrapText="1"/>
    </xf>
    <xf borderId="9" fillId="0" fontId="12" numFmtId="0" xfId="0" applyAlignment="1" applyBorder="1" applyFont="1">
      <alignment horizontal="left" vertical="center"/>
    </xf>
    <xf borderId="15" fillId="2" fontId="14" numFmtId="0" xfId="0" applyAlignment="1" applyBorder="1" applyFont="1">
      <alignment horizontal="center" shrinkToFit="0" vertical="top" wrapText="1"/>
    </xf>
    <xf borderId="12" fillId="0" fontId="12" numFmtId="0" xfId="0" applyAlignment="1" applyBorder="1" applyFont="1">
      <alignment horizontal="left"/>
    </xf>
    <xf borderId="1" fillId="2" fontId="1" numFmtId="0" xfId="0" applyAlignment="1" applyBorder="1" applyFont="1">
      <alignment vertical="center"/>
    </xf>
    <xf borderId="1" fillId="2" fontId="1" numFmtId="1" xfId="0" applyAlignment="1" applyBorder="1" applyFont="1" applyNumberFormat="1">
      <alignment vertical="center"/>
    </xf>
    <xf borderId="1" fillId="2" fontId="1" numFmtId="0" xfId="0" applyAlignment="1" applyBorder="1" applyFont="1">
      <alignment horizontal="left" vertical="center"/>
    </xf>
    <xf borderId="17" fillId="2" fontId="14" numFmtId="0" xfId="0" applyAlignment="1" applyBorder="1" applyFont="1">
      <alignment horizontal="center" shrinkToFit="0" vertical="top" wrapText="1"/>
    </xf>
    <xf borderId="0" fillId="0" fontId="7" numFmtId="0" xfId="0" applyFont="1"/>
    <xf borderId="1" fillId="2" fontId="3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left"/>
    </xf>
    <xf borderId="1" fillId="2" fontId="1" numFmtId="0" xfId="0" applyAlignment="1" applyBorder="1" applyFont="1">
      <alignment horizontal="center" shrinkToFit="0" wrapText="1"/>
    </xf>
    <xf borderId="16" fillId="2" fontId="1" numFmtId="0" xfId="0" applyAlignment="1" applyBorder="1" applyFont="1">
      <alignment vertical="center"/>
    </xf>
    <xf borderId="1" fillId="2" fontId="7" numFmtId="0" xfId="0" applyAlignment="1" applyBorder="1" applyFont="1">
      <alignment horizontal="center"/>
    </xf>
    <xf borderId="18" fillId="3" fontId="15" numFmtId="1" xfId="0" applyAlignment="1" applyBorder="1" applyFill="1" applyFont="1" applyNumberFormat="1">
      <alignment horizontal="center" vertical="center"/>
    </xf>
    <xf borderId="19" fillId="3" fontId="15" numFmtId="0" xfId="0" applyAlignment="1" applyBorder="1" applyFont="1">
      <alignment horizontal="center" vertical="center"/>
    </xf>
    <xf borderId="1" fillId="2" fontId="5" numFmtId="0" xfId="0" applyAlignment="1" applyBorder="1" applyFont="1">
      <alignment horizontal="center" shrinkToFit="0" wrapText="1"/>
    </xf>
    <xf borderId="0" fillId="0" fontId="7" numFmtId="0" xfId="0" applyAlignment="1" applyFont="1">
      <alignment horizontal="left"/>
    </xf>
    <xf borderId="20" fillId="3" fontId="15" numFmtId="0" xfId="0" applyAlignment="1" applyBorder="1" applyFont="1">
      <alignment horizontal="center" vertical="center"/>
    </xf>
    <xf borderId="21" fillId="3" fontId="15" numFmtId="0" xfId="0" applyAlignment="1" applyBorder="1" applyFont="1">
      <alignment horizontal="center" vertical="center"/>
    </xf>
    <xf borderId="18" fillId="4" fontId="15" numFmtId="164" xfId="0" applyAlignment="1" applyBorder="1" applyFill="1" applyFont="1" applyNumberFormat="1">
      <alignment horizontal="center" vertical="center"/>
    </xf>
    <xf borderId="19" fillId="4" fontId="15" numFmtId="0" xfId="0" applyAlignment="1" applyBorder="1" applyFont="1">
      <alignment horizontal="center" vertical="center"/>
    </xf>
    <xf borderId="15" fillId="2" fontId="10" numFmtId="0" xfId="0" applyAlignment="1" applyBorder="1" applyFont="1">
      <alignment vertical="center"/>
    </xf>
    <xf borderId="22" fillId="2" fontId="1" numFmtId="1" xfId="0" applyAlignment="1" applyBorder="1" applyFont="1" applyNumberFormat="1">
      <alignment readingOrder="0" vertical="center"/>
    </xf>
    <xf borderId="23" fillId="2" fontId="1" numFmtId="49" xfId="0" applyAlignment="1" applyBorder="1" applyFont="1" applyNumberFormat="1">
      <alignment horizontal="left" readingOrder="0" vertical="center"/>
    </xf>
    <xf borderId="15" fillId="2" fontId="1" numFmtId="0" xfId="0" applyAlignment="1" applyBorder="1" applyFont="1">
      <alignment horizontal="center" shrinkToFit="0" vertical="top" wrapText="1"/>
    </xf>
    <xf borderId="21" fillId="4" fontId="15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17" fillId="2" fontId="1" numFmtId="0" xfId="0" applyAlignment="1" applyBorder="1" applyFont="1">
      <alignment horizontal="center" shrinkToFit="0" vertical="top" wrapText="1"/>
    </xf>
    <xf borderId="23" fillId="2" fontId="16" numFmtId="0" xfId="0" applyAlignment="1" applyBorder="1" applyFont="1">
      <alignment horizontal="left" readingOrder="0" shrinkToFit="0" vertical="center" wrapText="1"/>
    </xf>
    <xf borderId="1" fillId="2" fontId="11" numFmtId="0" xfId="0" applyAlignment="1" applyBorder="1" applyFont="1">
      <alignment horizontal="center" shrinkToFit="0" vertical="center" wrapText="1"/>
    </xf>
    <xf borderId="23" fillId="2" fontId="1" numFmtId="0" xfId="0" applyAlignment="1" applyBorder="1" applyFont="1">
      <alignment horizontal="left" readingOrder="0" shrinkToFit="0" vertical="center" wrapText="1"/>
    </xf>
    <xf borderId="22" fillId="0" fontId="12" numFmtId="0" xfId="0" applyAlignment="1" applyBorder="1" applyFont="1">
      <alignment horizontal="center" shrinkToFit="0" vertical="center" wrapText="1"/>
    </xf>
    <xf borderId="24" fillId="2" fontId="1" numFmtId="0" xfId="0" applyAlignment="1" applyBorder="1" applyFont="1">
      <alignment horizontal="left" readingOrder="0" shrinkToFit="0" vertical="center" wrapText="1"/>
    </xf>
    <xf borderId="23" fillId="0" fontId="1" numFmtId="49" xfId="0" applyAlignment="1" applyBorder="1" applyFont="1" applyNumberFormat="1">
      <alignment horizontal="center" vertical="center"/>
    </xf>
    <xf borderId="16" fillId="2" fontId="8" numFmtId="14" xfId="0" applyAlignment="1" applyBorder="1" applyFont="1" applyNumberFormat="1">
      <alignment vertical="center"/>
    </xf>
    <xf borderId="23" fillId="0" fontId="1" numFmtId="0" xfId="0" applyAlignment="1" applyBorder="1" applyFont="1">
      <alignment horizontal="center" vertical="center"/>
    </xf>
    <xf borderId="23" fillId="0" fontId="1" numFmtId="15" xfId="0" applyAlignment="1" applyBorder="1" applyFont="1" applyNumberFormat="1">
      <alignment horizontal="center" vertical="center"/>
    </xf>
    <xf borderId="25" fillId="0" fontId="1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top"/>
    </xf>
    <xf borderId="22" fillId="0" fontId="1" numFmtId="164" xfId="0" applyAlignment="1" applyBorder="1" applyFont="1" applyNumberFormat="1">
      <alignment horizontal="center" vertical="center"/>
    </xf>
    <xf borderId="25" fillId="0" fontId="1" numFmtId="0" xfId="0" applyAlignment="1" applyBorder="1" applyFont="1">
      <alignment horizontal="center" vertical="center"/>
    </xf>
    <xf borderId="22" fillId="2" fontId="1" numFmtId="1" xfId="0" applyAlignment="1" applyBorder="1" applyFont="1" applyNumberFormat="1">
      <alignment vertical="center"/>
    </xf>
    <xf borderId="26" fillId="2" fontId="14" numFmtId="0" xfId="0" applyAlignment="1" applyBorder="1" applyFont="1">
      <alignment horizontal="center" shrinkToFit="0" vertical="top" wrapText="1"/>
    </xf>
    <xf borderId="23" fillId="2" fontId="1" numFmtId="49" xfId="0" applyAlignment="1" applyBorder="1" applyFont="1" applyNumberFormat="1">
      <alignment horizontal="left" vertical="center"/>
    </xf>
    <xf borderId="23" fillId="2" fontId="1" numFmtId="0" xfId="0" applyAlignment="1" applyBorder="1" applyFont="1">
      <alignment horizontal="left" shrinkToFit="0" vertical="center" wrapText="1"/>
    </xf>
    <xf borderId="24" fillId="2" fontId="1" numFmtId="0" xfId="0" applyAlignment="1" applyBorder="1" applyFont="1">
      <alignment horizontal="left" shrinkToFit="0" vertical="center" wrapText="1"/>
    </xf>
    <xf borderId="27" fillId="2" fontId="1" numFmtId="0" xfId="0" applyAlignment="1" applyBorder="1" applyFont="1">
      <alignment horizontal="center" shrinkToFit="0" vertical="top" wrapText="1"/>
    </xf>
    <xf borderId="1" fillId="2" fontId="10" numFmtId="0" xfId="0" applyBorder="1" applyFont="1"/>
    <xf borderId="1" fillId="2" fontId="8" numFmtId="0" xfId="0" applyBorder="1" applyFont="1"/>
    <xf borderId="28" fillId="2" fontId="1" numFmtId="0" xfId="0" applyAlignment="1" applyBorder="1" applyFont="1">
      <alignment horizontal="center" shrinkToFit="0" vertical="top" wrapText="1"/>
    </xf>
    <xf borderId="1" fillId="2" fontId="11" numFmtId="0" xfId="0" applyAlignment="1" applyBorder="1" applyFont="1">
      <alignment horizontal="center" shrinkToFit="0" wrapText="1"/>
    </xf>
    <xf borderId="15" fillId="5" fontId="15" numFmtId="0" xfId="0" applyAlignment="1" applyBorder="1" applyFill="1" applyFont="1">
      <alignment horizontal="center" shrinkToFit="0" vertical="center" wrapText="1"/>
    </xf>
    <xf borderId="29" fillId="2" fontId="1" numFmtId="0" xfId="0" applyBorder="1" applyFont="1"/>
    <xf borderId="30" fillId="0" fontId="1" numFmtId="164" xfId="0" applyAlignment="1" applyBorder="1" applyFont="1" applyNumberFormat="1">
      <alignment horizontal="center" vertical="center"/>
    </xf>
    <xf borderId="23" fillId="2" fontId="17" numFmtId="0" xfId="0" applyAlignment="1" applyBorder="1" applyFont="1">
      <alignment horizontal="left" shrinkToFit="0" vertical="center" wrapText="1"/>
    </xf>
    <xf borderId="31" fillId="4" fontId="15" numFmtId="0" xfId="0" applyAlignment="1" applyBorder="1" applyFont="1">
      <alignment horizontal="center" vertical="center"/>
    </xf>
    <xf borderId="32" fillId="0" fontId="1" numFmtId="49" xfId="0" applyAlignment="1" applyBorder="1" applyFont="1" applyNumberFormat="1">
      <alignment horizontal="center" vertical="center"/>
    </xf>
    <xf borderId="19" fillId="4" fontId="15" numFmtId="0" xfId="0" applyAlignment="1" applyBorder="1" applyFont="1">
      <alignment horizontal="center" shrinkToFit="0" vertical="center" wrapText="1"/>
    </xf>
    <xf borderId="32" fillId="0" fontId="1" numFmtId="0" xfId="0" applyAlignment="1" applyBorder="1" applyFont="1">
      <alignment horizontal="center" vertical="center"/>
    </xf>
    <xf borderId="20" fillId="4" fontId="15" numFmtId="0" xfId="0" applyAlignment="1" applyBorder="1" applyFont="1">
      <alignment horizontal="center" vertical="center"/>
    </xf>
    <xf borderId="33" fillId="4" fontId="15" numFmtId="0" xfId="0" applyAlignment="1" applyBorder="1" applyFont="1">
      <alignment horizontal="center" shrinkToFit="0" vertical="center" wrapText="1"/>
    </xf>
    <xf borderId="34" fillId="0" fontId="1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shrinkToFit="0" vertical="center" wrapText="1"/>
    </xf>
    <xf borderId="35" fillId="6" fontId="7" numFmtId="0" xfId="0" applyAlignment="1" applyBorder="1" applyFill="1" applyFont="1">
      <alignment horizontal="left" readingOrder="0" vertical="center"/>
    </xf>
    <xf borderId="36" fillId="2" fontId="1" numFmtId="0" xfId="0" applyAlignment="1" applyBorder="1" applyFont="1">
      <alignment horizontal="center" readingOrder="0" vertical="center"/>
    </xf>
    <xf borderId="35" fillId="6" fontId="7" numFmtId="0" xfId="0" applyAlignment="1" applyBorder="1" applyFont="1">
      <alignment horizontal="left" vertical="center"/>
    </xf>
    <xf borderId="23" fillId="2" fontId="1" numFmtId="0" xfId="0" applyAlignment="1" applyBorder="1" applyFont="1">
      <alignment readingOrder="0" vertical="center"/>
    </xf>
    <xf borderId="1" fillId="6" fontId="7" numFmtId="0" xfId="0" applyAlignment="1" applyBorder="1" applyFont="1">
      <alignment horizontal="left" vertical="center"/>
    </xf>
    <xf borderId="37" fillId="6" fontId="7" numFmtId="0" xfId="0" applyAlignment="1" applyBorder="1" applyFont="1">
      <alignment horizontal="left" vertical="center"/>
    </xf>
    <xf borderId="23" fillId="2" fontId="1" numFmtId="0" xfId="0" applyAlignment="1" applyBorder="1" applyFont="1">
      <alignment horizontal="center" vertical="center"/>
    </xf>
    <xf borderId="16" fillId="6" fontId="7" numFmtId="0" xfId="0" applyAlignment="1" applyBorder="1" applyFont="1">
      <alignment horizontal="left" vertical="center"/>
    </xf>
    <xf borderId="1" fillId="2" fontId="6" numFmtId="0" xfId="0" applyAlignment="1" applyBorder="1" applyFont="1">
      <alignment horizontal="left" vertical="center"/>
    </xf>
    <xf borderId="38" fillId="2" fontId="1" numFmtId="0" xfId="0" applyAlignment="1" applyBorder="1" applyFont="1">
      <alignment horizontal="center" vertical="center"/>
    </xf>
    <xf borderId="15" fillId="0" fontId="18" numFmtId="0" xfId="0" applyAlignment="1" applyBorder="1" applyFont="1">
      <alignment shrinkToFit="0" vertical="center" wrapText="1"/>
    </xf>
    <xf borderId="15" fillId="0" fontId="18" numFmtId="0" xfId="0" applyAlignment="1" applyBorder="1" applyFont="1">
      <alignment readingOrder="0" shrinkToFit="0" vertical="center" wrapText="1"/>
    </xf>
    <xf borderId="16" fillId="2" fontId="1" numFmtId="0" xfId="0" applyAlignment="1" applyBorder="1" applyFont="1">
      <alignment readingOrder="0" shrinkToFit="0" vertical="center" wrapText="1"/>
    </xf>
    <xf borderId="15" fillId="2" fontId="1" numFmtId="165" xfId="0" applyAlignment="1" applyBorder="1" applyFont="1" applyNumberFormat="1">
      <alignment readingOrder="0" shrinkToFit="0" vertical="center" wrapText="1"/>
    </xf>
    <xf borderId="15" fillId="2" fontId="1" numFmtId="0" xfId="0" applyAlignment="1" applyBorder="1" applyFont="1">
      <alignment readingOrder="0" shrinkToFit="0" vertical="center" wrapText="1"/>
    </xf>
    <xf borderId="15" fillId="2" fontId="1" numFmtId="0" xfId="0" applyAlignment="1" applyBorder="1" applyFont="1">
      <alignment shrinkToFit="0" vertical="center" wrapText="1"/>
    </xf>
    <xf borderId="1" fillId="2" fontId="5" numFmtId="0" xfId="0" applyAlignment="1" applyBorder="1" applyFont="1">
      <alignment shrinkToFit="0" vertical="top" wrapText="1"/>
    </xf>
    <xf borderId="36" fillId="2" fontId="1" numFmtId="0" xfId="0" applyAlignment="1" applyBorder="1" applyFont="1">
      <alignment horizontal="center" vertical="center"/>
    </xf>
    <xf borderId="23" fillId="2" fontId="1" numFmtId="0" xfId="0" applyAlignment="1" applyBorder="1" applyFont="1">
      <alignment vertical="center"/>
    </xf>
    <xf borderId="39" fillId="2" fontId="1" numFmtId="0" xfId="0" applyAlignment="1" applyBorder="1" applyFont="1">
      <alignment horizontal="center" vertical="center"/>
    </xf>
    <xf borderId="40" fillId="2" fontId="1" numFmtId="0" xfId="0" applyAlignment="1" applyBorder="1" applyFont="1">
      <alignment horizontal="center" vertical="center"/>
    </xf>
    <xf borderId="41" fillId="4" fontId="19" numFmtId="0" xfId="0" applyAlignment="1" applyBorder="1" applyFont="1">
      <alignment horizontal="center" vertical="center"/>
    </xf>
    <xf borderId="32" fillId="4" fontId="15" numFmtId="0" xfId="0" applyAlignment="1" applyBorder="1" applyFont="1">
      <alignment vertical="center"/>
    </xf>
    <xf borderId="32" fillId="4" fontId="19" numFmtId="0" xfId="0" applyAlignment="1" applyBorder="1" applyFont="1">
      <alignment horizontal="center" vertical="center"/>
    </xf>
    <xf borderId="42" fillId="4" fontId="19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/>
    </xf>
    <xf borderId="1" fillId="2" fontId="1" numFmtId="10" xfId="0" applyAlignment="1" applyBorder="1" applyFont="1" applyNumberFormat="1">
      <alignment horizontal="center"/>
    </xf>
    <xf borderId="1" fillId="2" fontId="1" numFmtId="9" xfId="0" applyAlignment="1" applyBorder="1" applyFont="1" applyNumberFormat="1">
      <alignment horizontal="center"/>
    </xf>
    <xf borderId="1" fillId="2" fontId="20" numFmtId="2" xfId="0" applyAlignment="1" applyBorder="1" applyFont="1" applyNumberFormat="1">
      <alignment horizontal="right" shrinkToFit="0" wrapText="1"/>
    </xf>
    <xf borderId="25" fillId="2" fontId="1" numFmtId="0" xfId="0" applyAlignment="1" applyBorder="1" applyFont="1">
      <alignment horizontal="left" vertical="center"/>
    </xf>
    <xf borderId="43" fillId="2" fontId="1" numFmtId="0" xfId="0" applyBorder="1" applyFont="1"/>
    <xf borderId="2" fillId="2" fontId="1" numFmtId="0" xfId="0" applyBorder="1" applyFont="1"/>
    <xf borderId="0" fillId="2" fontId="1" numFmtId="0" xfId="0" applyAlignment="1" applyFont="1">
      <alignment shrinkToFit="0" vertical="center" wrapText="1"/>
    </xf>
    <xf borderId="0" fillId="2" fontId="1" numFmtId="0" xfId="0" applyFont="1"/>
    <xf borderId="4" fillId="2" fontId="5" numFmtId="0" xfId="0" applyBorder="1" applyFont="1"/>
    <xf borderId="44" fillId="2" fontId="1" numFmtId="0" xfId="0" applyBorder="1" applyFont="1"/>
    <xf borderId="1" fillId="2" fontId="1" numFmtId="0" xfId="0" applyAlignment="1" applyBorder="1" applyFont="1">
      <alignment readingOrder="0"/>
    </xf>
    <xf borderId="15" fillId="0" fontId="21" numFmtId="0" xfId="0" applyAlignment="1" applyBorder="1" applyFont="1">
      <alignment horizontal="left" readingOrder="0" shrinkToFit="0" wrapText="1"/>
    </xf>
    <xf borderId="16" fillId="2" fontId="1" numFmtId="165" xfId="0" applyAlignment="1" applyBorder="1" applyFont="1" applyNumberForma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1</xdr:row>
      <xdr:rowOff>190500</xdr:rowOff>
    </xdr:from>
    <xdr:ext cx="1514475" cy="523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ocalhost:9090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 outlineLevelCol="1" outlineLevelRow="1"/>
  <cols>
    <col customWidth="1" min="1" max="1" width="28.13"/>
    <col customWidth="1" min="2" max="2" width="10.0"/>
    <col customWidth="1" min="3" max="3" width="14.38"/>
    <col customWidth="1" min="4" max="4" width="8.0"/>
    <col customWidth="1" min="5" max="5" width="38.0"/>
    <col customWidth="1" min="6" max="6" width="50.63"/>
    <col customWidth="1" min="7" max="26" width="9.0"/>
  </cols>
  <sheetData>
    <row r="1" ht="12.75" customHeight="1">
      <c r="A1" s="8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75.75" customHeight="1">
      <c r="A2" s="18"/>
      <c r="B2" s="24" t="s">
        <v>5</v>
      </c>
      <c r="C2" s="25"/>
      <c r="D2" s="25"/>
      <c r="E2" s="25"/>
      <c r="F2" s="26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2.75" customHeight="1">
      <c r="A3" s="32"/>
      <c r="B3" s="33"/>
      <c r="C3" s="10"/>
      <c r="D3" s="10"/>
      <c r="E3" s="1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4.25" customHeight="1">
      <c r="A4" s="37" t="s">
        <v>4</v>
      </c>
      <c r="B4" s="39" t="s">
        <v>10</v>
      </c>
      <c r="C4" s="25"/>
      <c r="D4" s="26"/>
      <c r="E4" s="37" t="s">
        <v>13</v>
      </c>
      <c r="F4" s="41" t="s">
        <v>14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4.25" customHeight="1">
      <c r="A5" s="37" t="s">
        <v>9</v>
      </c>
      <c r="B5" s="39" t="s">
        <v>17</v>
      </c>
      <c r="C5" s="25"/>
      <c r="D5" s="26"/>
      <c r="E5" s="37" t="s">
        <v>18</v>
      </c>
      <c r="F5" s="46" t="s">
        <v>19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>
      <c r="A6" s="49" t="s">
        <v>21</v>
      </c>
      <c r="B6" s="51" t="str">
        <f>B5&amp;"_"&amp;"XXX"&amp;"_"&amp;"vx.x"</f>
        <v>RCHS_XXX_vx.x</v>
      </c>
      <c r="C6" s="25"/>
      <c r="D6" s="26"/>
      <c r="E6" s="37" t="s">
        <v>23</v>
      </c>
      <c r="F6" s="53" t="s">
        <v>24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2.75" customHeight="1">
      <c r="A7" s="58"/>
      <c r="B7" s="33"/>
      <c r="C7" s="10"/>
      <c r="D7" s="10"/>
      <c r="E7" s="60"/>
      <c r="F7" s="33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7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75" customHeight="1">
      <c r="A9" s="67" t="s">
        <v>30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2.75" customHeight="1">
      <c r="A10" s="70" t="s">
        <v>33</v>
      </c>
      <c r="B10" s="71" t="s">
        <v>23</v>
      </c>
      <c r="C10" s="71" t="s">
        <v>35</v>
      </c>
      <c r="D10" s="71" t="s">
        <v>36</v>
      </c>
      <c r="E10" s="71" t="s">
        <v>37</v>
      </c>
      <c r="F10" s="76" t="s">
        <v>38</v>
      </c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ht="26.25" customHeight="1">
      <c r="A11" s="82" t="s">
        <v>40</v>
      </c>
      <c r="B11" s="84" t="s">
        <v>24</v>
      </c>
      <c r="C11" s="86" t="s">
        <v>42</v>
      </c>
      <c r="D11" s="86" t="s">
        <v>43</v>
      </c>
      <c r="E11" s="87" t="s">
        <v>44</v>
      </c>
      <c r="F11" s="88" t="s">
        <v>45</v>
      </c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 ht="21.75" customHeight="1">
      <c r="A12" s="90"/>
      <c r="B12" s="84"/>
      <c r="C12" s="86"/>
      <c r="D12" s="86"/>
      <c r="E12" s="86"/>
      <c r="F12" s="91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 ht="19.5" customHeight="1">
      <c r="A13" s="90"/>
      <c r="B13" s="84"/>
      <c r="C13" s="86"/>
      <c r="D13" s="86"/>
      <c r="E13" s="86"/>
      <c r="F13" s="91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 ht="21.75" customHeight="1">
      <c r="A14" s="90"/>
      <c r="B14" s="84"/>
      <c r="C14" s="86"/>
      <c r="D14" s="86"/>
      <c r="E14" s="86"/>
      <c r="F14" s="91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 ht="19.5" customHeight="1">
      <c r="A15" s="90"/>
      <c r="B15" s="84"/>
      <c r="C15" s="86"/>
      <c r="D15" s="86"/>
      <c r="E15" s="86"/>
      <c r="F15" s="91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 ht="21.75" customHeight="1">
      <c r="A16" s="90"/>
      <c r="B16" s="84"/>
      <c r="C16" s="86"/>
      <c r="D16" s="86"/>
      <c r="E16" s="86"/>
      <c r="F16" s="91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 ht="19.5" customHeight="1">
      <c r="A17" s="104"/>
      <c r="B17" s="107"/>
      <c r="C17" s="109"/>
      <c r="D17" s="109"/>
      <c r="E17" s="109"/>
      <c r="F17" s="112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 ht="12.75" customHeight="1">
      <c r="A18" s="8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8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2.75" customHeight="1">
      <c r="A20" s="8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2.75" customHeight="1">
      <c r="A21" s="8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2.75" customHeight="1">
      <c r="A22" s="8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2.75" customHeight="1">
      <c r="A23" s="8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2.75" customHeight="1">
      <c r="A24" s="8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2.75" customHeight="1">
      <c r="A25" s="8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2.75" customHeight="1">
      <c r="A26" s="8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2.75" customHeight="1">
      <c r="A27" s="8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2.75" customHeight="1">
      <c r="A28" s="8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2.75" customHeight="1">
      <c r="A29" s="8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2.75" customHeight="1">
      <c r="A30" s="8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2.75" customHeight="1">
      <c r="A31" s="8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2.75" customHeight="1">
      <c r="A32" s="8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2.75" customHeight="1">
      <c r="A33" s="8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2.75" customHeight="1">
      <c r="A34" s="8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2.75" customHeight="1">
      <c r="A35" s="8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2.75" customHeight="1">
      <c r="A36" s="8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2.75" customHeight="1">
      <c r="A37" s="8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2.75" customHeight="1">
      <c r="A38" s="8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2.75" customHeight="1">
      <c r="A39" s="8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2.75" customHeight="1">
      <c r="A40" s="8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2.75" customHeight="1">
      <c r="A41" s="8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2.75" customHeight="1">
      <c r="A42" s="8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2.75" customHeight="1">
      <c r="A43" s="8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2.75" customHeight="1">
      <c r="A44" s="8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2.75" customHeight="1">
      <c r="A45" s="8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2.75" customHeight="1">
      <c r="A46" s="8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2.75" customHeight="1">
      <c r="A47" s="8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2.75" customHeight="1">
      <c r="A48" s="8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2.75" customHeight="1">
      <c r="A49" s="8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2.75" customHeight="1">
      <c r="A50" s="8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2.75" customHeight="1">
      <c r="A51" s="8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2.75" customHeight="1">
      <c r="A52" s="8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2.75" customHeight="1">
      <c r="A53" s="8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2.75" customHeight="1">
      <c r="A54" s="8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2.75" customHeight="1">
      <c r="A55" s="8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2.75" customHeight="1">
      <c r="A56" s="8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2.75" customHeight="1">
      <c r="A57" s="8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2.75" customHeight="1">
      <c r="A58" s="8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2.75" customHeight="1">
      <c r="A59" s="8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2.75" customHeight="1">
      <c r="A60" s="8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2.75" customHeight="1">
      <c r="A61" s="8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2.75" customHeight="1">
      <c r="A62" s="8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2.75" customHeight="1">
      <c r="A63" s="8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2.75" customHeight="1">
      <c r="A64" s="8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2.75" customHeight="1">
      <c r="A65" s="8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2.75" customHeight="1">
      <c r="A66" s="8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2.75" customHeight="1">
      <c r="A67" s="8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2.75" customHeight="1">
      <c r="A68" s="8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2.75" customHeight="1">
      <c r="A69" s="8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2.75" customHeight="1">
      <c r="A70" s="8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2.75" customHeight="1">
      <c r="A71" s="8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2.75" customHeight="1">
      <c r="A72" s="8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2.75" customHeight="1">
      <c r="A73" s="8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2.75" customHeight="1">
      <c r="A74" s="8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2.75" customHeight="1">
      <c r="A75" s="8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2.75" customHeight="1">
      <c r="A76" s="8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2.75" customHeight="1">
      <c r="A77" s="8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2.75" customHeight="1">
      <c r="A78" s="8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2.75" customHeight="1">
      <c r="A79" s="8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2.75" customHeight="1">
      <c r="A80" s="8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2.75" customHeight="1">
      <c r="A81" s="8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2.75" customHeight="1">
      <c r="A82" s="8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2.75" customHeight="1">
      <c r="A83" s="8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2.75" customHeight="1">
      <c r="A84" s="8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2.75" customHeight="1">
      <c r="A85" s="8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2.75" customHeight="1">
      <c r="A86" s="8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2.75" customHeight="1">
      <c r="A87" s="8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2.75" customHeight="1">
      <c r="A88" s="8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2.75" customHeight="1">
      <c r="A89" s="8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2.75" customHeight="1">
      <c r="A90" s="8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2.75" customHeight="1">
      <c r="A91" s="8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2.75" customHeight="1">
      <c r="A92" s="8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2.75" customHeight="1">
      <c r="A93" s="8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2.75" customHeight="1">
      <c r="A94" s="8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2.75" customHeight="1">
      <c r="A95" s="8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2.75" customHeight="1">
      <c r="A96" s="8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2.75" customHeight="1">
      <c r="A97" s="8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2.75" customHeight="1">
      <c r="A98" s="8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2.75" customHeight="1">
      <c r="A99" s="8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2.75" customHeight="1">
      <c r="A100" s="8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2.75" customHeight="1">
      <c r="A101" s="8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2.75" customHeight="1">
      <c r="A102" s="8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2.75" customHeight="1">
      <c r="A103" s="8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2.75" customHeight="1">
      <c r="A104" s="8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2.75" customHeight="1">
      <c r="A105" s="8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2.75" customHeight="1">
      <c r="A106" s="8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2.75" customHeight="1">
      <c r="A107" s="8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2.75" customHeight="1">
      <c r="A108" s="8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2.75" customHeight="1">
      <c r="A109" s="8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2.75" customHeight="1">
      <c r="A110" s="8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2.75" customHeight="1">
      <c r="A111" s="8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2.75" customHeight="1">
      <c r="A112" s="8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2.75" customHeight="1">
      <c r="A113" s="8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2.75" customHeight="1">
      <c r="A114" s="8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2.75" customHeight="1">
      <c r="A115" s="8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2.75" customHeight="1">
      <c r="A116" s="8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2.75" customHeight="1">
      <c r="A117" s="8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2.75" customHeight="1">
      <c r="A118" s="8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2.75" customHeight="1">
      <c r="A119" s="8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2.75" customHeight="1">
      <c r="A120" s="8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2.75" customHeight="1">
      <c r="A121" s="8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2.75" customHeight="1">
      <c r="A122" s="8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2.75" customHeight="1">
      <c r="A123" s="8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2.75" customHeight="1">
      <c r="A124" s="8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2.75" customHeight="1">
      <c r="A125" s="8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2.75" customHeight="1">
      <c r="A126" s="8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2.75" customHeight="1">
      <c r="A127" s="8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2.75" customHeight="1">
      <c r="A128" s="8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2.75" customHeight="1">
      <c r="A129" s="8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2.75" customHeight="1">
      <c r="A130" s="8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2.75" customHeight="1">
      <c r="A131" s="8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2.75" customHeight="1">
      <c r="A132" s="8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2.75" customHeight="1">
      <c r="A133" s="8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2.75" customHeight="1">
      <c r="A134" s="8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2.75" customHeight="1">
      <c r="A135" s="8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2.75" customHeight="1">
      <c r="A136" s="8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2.75" customHeight="1">
      <c r="A137" s="8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2.75" customHeight="1">
      <c r="A138" s="8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2.75" customHeight="1">
      <c r="A139" s="8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2.75" customHeight="1">
      <c r="A140" s="8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2.75" customHeight="1">
      <c r="A141" s="8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2.75" customHeight="1">
      <c r="A142" s="8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2.75" customHeight="1">
      <c r="A143" s="8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2.75" customHeight="1">
      <c r="A144" s="8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2.75" customHeight="1">
      <c r="A145" s="8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2.75" customHeight="1">
      <c r="A146" s="8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2.75" customHeight="1">
      <c r="A147" s="8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2.75" customHeight="1">
      <c r="A148" s="8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2.75" customHeight="1">
      <c r="A149" s="8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2.75" customHeight="1">
      <c r="A150" s="8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2.75" customHeight="1">
      <c r="A151" s="8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2.75" customHeight="1">
      <c r="A152" s="8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2.75" customHeight="1">
      <c r="A153" s="8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2.75" customHeight="1">
      <c r="A154" s="8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2.75" customHeight="1">
      <c r="A155" s="8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2.75" customHeight="1">
      <c r="A156" s="8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2.75" customHeight="1">
      <c r="A157" s="8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2.75" customHeight="1">
      <c r="A158" s="8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2.75" customHeight="1">
      <c r="A159" s="8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2.75" customHeight="1">
      <c r="A160" s="8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2.75" customHeight="1">
      <c r="A161" s="8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2.75" customHeight="1">
      <c r="A162" s="8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2.75" customHeight="1">
      <c r="A163" s="8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2.75" customHeight="1">
      <c r="A164" s="8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2.75" customHeight="1">
      <c r="A165" s="8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2.75" customHeight="1">
      <c r="A166" s="8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2.75" customHeight="1">
      <c r="A167" s="8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2.75" customHeight="1">
      <c r="A168" s="8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2.75" customHeight="1">
      <c r="A169" s="8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2.75" customHeight="1">
      <c r="A170" s="8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2.75" customHeight="1">
      <c r="A171" s="8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2.75" customHeight="1">
      <c r="A172" s="8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2.75" customHeight="1">
      <c r="A173" s="8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2.75" customHeight="1">
      <c r="A174" s="8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2.75" customHeight="1">
      <c r="A175" s="8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2.75" customHeight="1">
      <c r="A176" s="8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2.75" customHeight="1">
      <c r="A177" s="8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2.75" customHeight="1">
      <c r="A178" s="8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2.75" customHeight="1">
      <c r="A179" s="8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2.75" customHeight="1">
      <c r="A180" s="8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2.75" customHeight="1">
      <c r="A181" s="8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2.75" customHeight="1">
      <c r="A182" s="8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2.75" customHeight="1">
      <c r="A183" s="8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2.75" customHeight="1">
      <c r="A184" s="8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2.75" customHeight="1">
      <c r="A185" s="8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2.75" customHeight="1">
      <c r="A186" s="8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2.75" customHeight="1">
      <c r="A187" s="8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2.75" customHeight="1">
      <c r="A188" s="8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2.75" customHeight="1">
      <c r="A189" s="8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2.75" customHeight="1">
      <c r="A190" s="8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2.75" customHeight="1">
      <c r="A191" s="8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2.75" customHeight="1">
      <c r="A192" s="8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2.75" customHeight="1">
      <c r="A193" s="8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2.75" customHeight="1">
      <c r="A194" s="8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2.75" customHeight="1">
      <c r="A195" s="8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2.75" customHeight="1">
      <c r="A196" s="8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2.75" customHeight="1">
      <c r="A197" s="8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2.75" customHeight="1">
      <c r="A198" s="8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2.75" customHeight="1">
      <c r="A199" s="8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2.75" customHeight="1">
      <c r="A200" s="8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2.75" customHeight="1">
      <c r="A201" s="8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2.75" customHeight="1">
      <c r="A202" s="8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2.75" customHeight="1">
      <c r="A203" s="8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2.75" customHeight="1">
      <c r="A204" s="8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2.75" customHeight="1">
      <c r="A205" s="8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2.75" customHeight="1">
      <c r="A206" s="8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2.75" customHeight="1">
      <c r="A207" s="8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2.75" customHeight="1">
      <c r="A208" s="8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2.75" customHeight="1">
      <c r="A209" s="8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2.75" customHeight="1">
      <c r="A210" s="8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2.75" customHeight="1">
      <c r="A211" s="8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2.75" customHeight="1">
      <c r="A212" s="8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2.75" customHeight="1">
      <c r="A213" s="8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2.75" customHeight="1">
      <c r="A214" s="8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2.75" customHeight="1">
      <c r="A215" s="8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2.75" customHeight="1">
      <c r="A216" s="8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2.75" customHeight="1">
      <c r="A217" s="8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2.75" customHeight="1">
      <c r="A218" s="8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2.75" customHeight="1">
      <c r="A219" s="8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2.75" customHeight="1">
      <c r="A220" s="8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2.75" customHeight="1">
      <c r="A221" s="8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2.75" customHeight="1">
      <c r="A222" s="8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2.75" customHeight="1">
      <c r="A223" s="8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2.75" customHeight="1">
      <c r="A224" s="8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2.75" customHeight="1">
      <c r="A225" s="8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2.75" customHeight="1">
      <c r="A226" s="8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2.75" customHeight="1">
      <c r="A227" s="8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2.75" customHeight="1">
      <c r="A228" s="8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2.75" customHeight="1">
      <c r="A229" s="8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2.75" customHeight="1">
      <c r="A230" s="8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2.75" customHeight="1">
      <c r="A231" s="8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2.75" customHeight="1">
      <c r="A232" s="8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2.75" customHeight="1">
      <c r="A233" s="8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2.75" customHeight="1">
      <c r="A234" s="8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2.75" customHeight="1">
      <c r="A235" s="8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2.75" customHeight="1">
      <c r="A236" s="8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2.75" customHeight="1">
      <c r="A237" s="8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2.75" customHeight="1">
      <c r="A238" s="8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2.75" customHeight="1">
      <c r="A239" s="8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2.75" customHeight="1">
      <c r="A240" s="8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2.75" customHeight="1">
      <c r="A241" s="8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2.75" customHeight="1">
      <c r="A242" s="8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2.75" customHeight="1">
      <c r="A243" s="8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2.75" customHeight="1">
      <c r="A244" s="8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2.75" customHeight="1">
      <c r="A245" s="8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2.75" customHeight="1">
      <c r="A246" s="8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2.75" customHeight="1">
      <c r="A247" s="8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2.75" customHeight="1">
      <c r="A248" s="8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2.75" customHeight="1">
      <c r="A249" s="8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2.75" customHeight="1">
      <c r="A250" s="8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2.75" customHeight="1">
      <c r="A251" s="8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2.75" customHeight="1">
      <c r="A252" s="8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2.75" customHeight="1">
      <c r="A253" s="8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2.75" customHeight="1">
      <c r="A254" s="8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2.75" customHeight="1">
      <c r="A255" s="8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2.75" customHeight="1">
      <c r="A256" s="8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2.75" customHeight="1">
      <c r="A257" s="8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2.75" customHeight="1">
      <c r="A258" s="8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2.75" customHeight="1">
      <c r="A259" s="8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2.75" customHeight="1">
      <c r="A260" s="8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2.75" customHeight="1">
      <c r="A261" s="8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2.75" customHeight="1">
      <c r="A262" s="8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2.75" customHeight="1">
      <c r="A263" s="8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2.75" customHeight="1">
      <c r="A264" s="8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2.75" customHeight="1">
      <c r="A265" s="8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2.75" customHeight="1">
      <c r="A266" s="8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2.75" customHeight="1">
      <c r="A267" s="8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2.75" customHeight="1">
      <c r="A268" s="8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2.75" customHeight="1">
      <c r="A269" s="8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2.75" customHeight="1">
      <c r="A270" s="8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2.75" customHeight="1">
      <c r="A271" s="8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2.75" customHeight="1">
      <c r="A272" s="8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2.75" customHeight="1">
      <c r="A273" s="8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2.75" customHeight="1">
      <c r="A274" s="8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2.75" customHeight="1">
      <c r="A275" s="8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2.75" customHeight="1">
      <c r="A276" s="8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2.75" customHeight="1">
      <c r="A277" s="8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2.75" customHeight="1">
      <c r="A278" s="8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2.75" customHeight="1">
      <c r="A279" s="8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2.75" customHeight="1">
      <c r="A280" s="8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2.75" customHeight="1">
      <c r="A281" s="8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2.75" customHeight="1">
      <c r="A282" s="8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2.75" customHeight="1">
      <c r="A283" s="8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2.75" customHeight="1">
      <c r="A284" s="8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2.75" customHeight="1">
      <c r="A285" s="8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2.75" customHeight="1">
      <c r="A286" s="8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2.75" customHeight="1">
      <c r="A287" s="8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2.75" customHeight="1">
      <c r="A288" s="8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2.75" customHeight="1">
      <c r="A289" s="8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2.75" customHeight="1">
      <c r="A290" s="8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2.75" customHeight="1">
      <c r="A291" s="8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2.75" customHeight="1">
      <c r="A292" s="8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2.75" customHeight="1">
      <c r="A293" s="8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2.75" customHeight="1">
      <c r="A294" s="8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2.75" customHeight="1">
      <c r="A295" s="8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2.75" customHeight="1">
      <c r="A296" s="8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2.75" customHeight="1">
      <c r="A297" s="8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2.75" customHeight="1">
      <c r="A298" s="8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2.75" customHeight="1">
      <c r="A299" s="8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2.75" customHeight="1">
      <c r="A300" s="8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2.75" customHeight="1">
      <c r="A301" s="8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2.75" customHeight="1">
      <c r="A302" s="8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2.75" customHeight="1">
      <c r="A303" s="8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2.75" customHeight="1">
      <c r="A304" s="8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2.75" customHeight="1">
      <c r="A305" s="8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2.75" customHeight="1">
      <c r="A306" s="8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2.75" customHeight="1">
      <c r="A307" s="8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2.75" customHeight="1">
      <c r="A308" s="8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2.75" customHeight="1">
      <c r="A309" s="8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2.75" customHeight="1">
      <c r="A310" s="8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2.75" customHeight="1">
      <c r="A311" s="8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2.75" customHeight="1">
      <c r="A312" s="8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2.75" customHeight="1">
      <c r="A313" s="8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2.75" customHeight="1">
      <c r="A314" s="8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2.75" customHeight="1">
      <c r="A315" s="8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2.75" customHeight="1">
      <c r="A316" s="8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2.75" customHeight="1">
      <c r="A317" s="8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2.75" customHeight="1">
      <c r="A318" s="8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2.75" customHeight="1">
      <c r="A319" s="8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2.75" customHeight="1">
      <c r="A320" s="8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2.75" customHeight="1">
      <c r="A321" s="8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2.75" customHeight="1">
      <c r="A322" s="8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2.75" customHeight="1">
      <c r="A323" s="8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2.75" customHeight="1">
      <c r="A324" s="8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2.75" customHeight="1">
      <c r="A325" s="8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2.75" customHeight="1">
      <c r="A326" s="8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2.75" customHeight="1">
      <c r="A327" s="8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2.75" customHeight="1">
      <c r="A328" s="8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2.75" customHeight="1">
      <c r="A329" s="8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2.75" customHeight="1">
      <c r="A330" s="8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2.75" customHeight="1">
      <c r="A331" s="8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2.75" customHeight="1">
      <c r="A332" s="8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2.75" customHeight="1">
      <c r="A333" s="8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2.75" customHeight="1">
      <c r="A334" s="8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2.75" customHeight="1">
      <c r="A335" s="8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2.75" customHeight="1">
      <c r="A336" s="8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2.75" customHeight="1">
      <c r="A337" s="8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2.75" customHeight="1">
      <c r="A338" s="8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2.75" customHeight="1">
      <c r="A339" s="8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2.75" customHeight="1">
      <c r="A340" s="8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2.75" customHeight="1">
      <c r="A341" s="8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2.75" customHeight="1">
      <c r="A342" s="8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2.75" customHeight="1">
      <c r="A343" s="8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2.75" customHeight="1">
      <c r="A344" s="8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2.75" customHeight="1">
      <c r="A345" s="8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2.75" customHeight="1">
      <c r="A346" s="8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2.75" customHeight="1">
      <c r="A347" s="8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2.75" customHeight="1">
      <c r="A348" s="8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2.75" customHeight="1">
      <c r="A349" s="8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2.75" customHeight="1">
      <c r="A350" s="8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2.75" customHeight="1">
      <c r="A351" s="8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2.75" customHeight="1">
      <c r="A352" s="8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2.75" customHeight="1">
      <c r="A353" s="8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2.75" customHeight="1">
      <c r="A354" s="8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2.75" customHeight="1">
      <c r="A355" s="8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2.75" customHeight="1">
      <c r="A356" s="8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2.75" customHeight="1">
      <c r="A357" s="8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2.75" customHeight="1">
      <c r="A358" s="8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2.75" customHeight="1">
      <c r="A359" s="8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2.75" customHeight="1">
      <c r="A360" s="8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2.75" customHeight="1">
      <c r="A361" s="8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2.75" customHeight="1">
      <c r="A362" s="8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2.75" customHeight="1">
      <c r="A363" s="8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2.75" customHeight="1">
      <c r="A364" s="8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2.75" customHeight="1">
      <c r="A365" s="8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2.75" customHeight="1">
      <c r="A366" s="8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2.75" customHeight="1">
      <c r="A367" s="8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2.75" customHeight="1">
      <c r="A368" s="8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2.75" customHeight="1">
      <c r="A369" s="8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2.75" customHeight="1">
      <c r="A370" s="8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2.75" customHeight="1">
      <c r="A371" s="8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2.75" customHeight="1">
      <c r="A372" s="8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2.75" customHeight="1">
      <c r="A373" s="8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2.75" customHeight="1">
      <c r="A374" s="8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2.75" customHeight="1">
      <c r="A375" s="8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2.75" customHeight="1">
      <c r="A376" s="8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2.75" customHeight="1">
      <c r="A377" s="8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2.75" customHeight="1">
      <c r="A378" s="8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2.75" customHeight="1">
      <c r="A379" s="8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2.75" customHeight="1">
      <c r="A380" s="8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2.75" customHeight="1">
      <c r="A381" s="8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2.75" customHeight="1">
      <c r="A382" s="8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2.75" customHeight="1">
      <c r="A383" s="8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2.75" customHeight="1">
      <c r="A384" s="8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2.75" customHeight="1">
      <c r="A385" s="8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2.75" customHeight="1">
      <c r="A386" s="8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2.75" customHeight="1">
      <c r="A387" s="8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2.75" customHeight="1">
      <c r="A388" s="8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2.75" customHeight="1">
      <c r="A389" s="8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2.75" customHeight="1">
      <c r="A390" s="8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2.75" customHeight="1">
      <c r="A391" s="8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2.75" customHeight="1">
      <c r="A392" s="8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2.75" customHeight="1">
      <c r="A393" s="8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2.75" customHeight="1">
      <c r="A394" s="8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2.75" customHeight="1">
      <c r="A395" s="8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2.75" customHeight="1">
      <c r="A396" s="8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2.75" customHeight="1">
      <c r="A397" s="8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2.75" customHeight="1">
      <c r="A398" s="8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2.75" customHeight="1">
      <c r="A399" s="8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2.75" customHeight="1">
      <c r="A400" s="8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2.75" customHeight="1">
      <c r="A401" s="8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2.75" customHeight="1">
      <c r="A402" s="8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2.75" customHeight="1">
      <c r="A403" s="8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2.75" customHeight="1">
      <c r="A404" s="8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2.75" customHeight="1">
      <c r="A405" s="8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2.75" customHeight="1">
      <c r="A406" s="8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2.75" customHeight="1">
      <c r="A407" s="8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2.75" customHeight="1">
      <c r="A408" s="8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2.75" customHeight="1">
      <c r="A409" s="8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2.75" customHeight="1">
      <c r="A410" s="8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2.75" customHeight="1">
      <c r="A411" s="8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2.75" customHeight="1">
      <c r="A412" s="8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2.75" customHeight="1">
      <c r="A413" s="8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2.75" customHeight="1">
      <c r="A414" s="8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2.75" customHeight="1">
      <c r="A415" s="8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2.75" customHeight="1">
      <c r="A416" s="8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2.75" customHeight="1">
      <c r="A417" s="8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2.75" customHeight="1">
      <c r="A418" s="8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2.75" customHeight="1">
      <c r="A419" s="8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2.75" customHeight="1">
      <c r="A420" s="8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2.75" customHeight="1">
      <c r="A421" s="8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2.75" customHeight="1">
      <c r="A422" s="8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2.75" customHeight="1">
      <c r="A423" s="8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2.75" customHeight="1">
      <c r="A424" s="8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2.75" customHeight="1">
      <c r="A425" s="8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2.75" customHeight="1">
      <c r="A426" s="8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2.75" customHeight="1">
      <c r="A427" s="8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2.75" customHeight="1">
      <c r="A428" s="8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2.75" customHeight="1">
      <c r="A429" s="8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2.75" customHeight="1">
      <c r="A430" s="8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2.75" customHeight="1">
      <c r="A431" s="8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2.75" customHeight="1">
      <c r="A432" s="8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2.75" customHeight="1">
      <c r="A433" s="8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2.75" customHeight="1">
      <c r="A434" s="8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2.75" customHeight="1">
      <c r="A435" s="8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2.75" customHeight="1">
      <c r="A436" s="8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2.75" customHeight="1">
      <c r="A437" s="8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2.75" customHeight="1">
      <c r="A438" s="8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2.75" customHeight="1">
      <c r="A439" s="8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2.75" customHeight="1">
      <c r="A440" s="8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2.75" customHeight="1">
      <c r="A441" s="8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2.75" customHeight="1">
      <c r="A442" s="8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2.75" customHeight="1">
      <c r="A443" s="8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2.75" customHeight="1">
      <c r="A444" s="8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2.75" customHeight="1">
      <c r="A445" s="8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2.75" customHeight="1">
      <c r="A446" s="8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2.75" customHeight="1">
      <c r="A447" s="8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2.75" customHeight="1">
      <c r="A448" s="8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2.75" customHeight="1">
      <c r="A449" s="8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2.75" customHeight="1">
      <c r="A450" s="8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2.75" customHeight="1">
      <c r="A451" s="8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2.75" customHeight="1">
      <c r="A452" s="8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2.75" customHeight="1">
      <c r="A453" s="8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2.75" customHeight="1">
      <c r="A454" s="8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2.75" customHeight="1">
      <c r="A455" s="8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2.75" customHeight="1">
      <c r="A456" s="8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2.75" customHeight="1">
      <c r="A457" s="8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2.75" customHeight="1">
      <c r="A458" s="8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2.75" customHeight="1">
      <c r="A459" s="8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2.75" customHeight="1">
      <c r="A460" s="8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2.75" customHeight="1">
      <c r="A461" s="8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2.75" customHeight="1">
      <c r="A462" s="8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2.75" customHeight="1">
      <c r="A463" s="8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2.75" customHeight="1">
      <c r="A464" s="8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2.75" customHeight="1">
      <c r="A465" s="8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2.75" customHeight="1">
      <c r="A466" s="8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2.75" customHeight="1">
      <c r="A467" s="8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2.75" customHeight="1">
      <c r="A468" s="8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2.75" customHeight="1">
      <c r="A469" s="8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2.75" customHeight="1">
      <c r="A470" s="8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2.75" customHeight="1">
      <c r="A471" s="8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2.75" customHeight="1">
      <c r="A472" s="8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2.75" customHeight="1">
      <c r="A473" s="8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2.75" customHeight="1">
      <c r="A474" s="8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2.75" customHeight="1">
      <c r="A475" s="8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2.75" customHeight="1">
      <c r="A476" s="8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2.75" customHeight="1">
      <c r="A477" s="8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2.75" customHeight="1">
      <c r="A478" s="8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2.75" customHeight="1">
      <c r="A479" s="8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2.75" customHeight="1">
      <c r="A480" s="8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2.75" customHeight="1">
      <c r="A481" s="8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2.75" customHeight="1">
      <c r="A482" s="8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2.75" customHeight="1">
      <c r="A483" s="8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2.75" customHeight="1">
      <c r="A484" s="8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2.75" customHeight="1">
      <c r="A485" s="8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2.75" customHeight="1">
      <c r="A486" s="8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2.75" customHeight="1">
      <c r="A487" s="8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2.75" customHeight="1">
      <c r="A488" s="8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2.75" customHeight="1">
      <c r="A489" s="8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2.75" customHeight="1">
      <c r="A490" s="8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2.75" customHeight="1">
      <c r="A491" s="8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2.75" customHeight="1">
      <c r="A492" s="8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2.75" customHeight="1">
      <c r="A493" s="8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2.75" customHeight="1">
      <c r="A494" s="8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2.75" customHeight="1">
      <c r="A495" s="8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2.75" customHeight="1">
      <c r="A496" s="8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2.75" customHeight="1">
      <c r="A497" s="8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2.75" customHeight="1">
      <c r="A498" s="8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2.75" customHeight="1">
      <c r="A499" s="8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2.75" customHeight="1">
      <c r="A500" s="8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2.75" customHeight="1">
      <c r="A501" s="8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2.75" customHeight="1">
      <c r="A502" s="8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2.75" customHeight="1">
      <c r="A503" s="8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2.75" customHeight="1">
      <c r="A504" s="8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2.75" customHeight="1">
      <c r="A505" s="8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2.75" customHeight="1">
      <c r="A506" s="8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2.75" customHeight="1">
      <c r="A507" s="8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2.75" customHeight="1">
      <c r="A508" s="8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2.75" customHeight="1">
      <c r="A509" s="8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2.75" customHeight="1">
      <c r="A510" s="8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2.75" customHeight="1">
      <c r="A511" s="8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2.75" customHeight="1">
      <c r="A512" s="8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2.75" customHeight="1">
      <c r="A513" s="8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2.75" customHeight="1">
      <c r="A514" s="8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2.75" customHeight="1">
      <c r="A515" s="8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2.75" customHeight="1">
      <c r="A516" s="8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2.75" customHeight="1">
      <c r="A517" s="8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2.75" customHeight="1">
      <c r="A518" s="8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2.75" customHeight="1">
      <c r="A519" s="8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2.75" customHeight="1">
      <c r="A520" s="8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2.75" customHeight="1">
      <c r="A521" s="8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2.75" customHeight="1">
      <c r="A522" s="8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2.75" customHeight="1">
      <c r="A523" s="8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2.75" customHeight="1">
      <c r="A524" s="8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2.75" customHeight="1">
      <c r="A525" s="8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2.75" customHeight="1">
      <c r="A526" s="8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2.75" customHeight="1">
      <c r="A527" s="8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2.75" customHeight="1">
      <c r="A528" s="8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2.75" customHeight="1">
      <c r="A529" s="8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2.75" customHeight="1">
      <c r="A530" s="8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2.75" customHeight="1">
      <c r="A531" s="8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2.75" customHeight="1">
      <c r="A532" s="8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2.75" customHeight="1">
      <c r="A533" s="8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2.75" customHeight="1">
      <c r="A534" s="8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2.75" customHeight="1">
      <c r="A535" s="8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2.75" customHeight="1">
      <c r="A536" s="8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2.75" customHeight="1">
      <c r="A537" s="8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2.75" customHeight="1">
      <c r="A538" s="8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2.75" customHeight="1">
      <c r="A539" s="8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2.75" customHeight="1">
      <c r="A540" s="8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2.75" customHeight="1">
      <c r="A541" s="8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2.75" customHeight="1">
      <c r="A542" s="8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2.75" customHeight="1">
      <c r="A543" s="8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2.75" customHeight="1">
      <c r="A544" s="8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2.75" customHeight="1">
      <c r="A545" s="8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2.75" customHeight="1">
      <c r="A546" s="8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2.75" customHeight="1">
      <c r="A547" s="8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2.75" customHeight="1">
      <c r="A548" s="8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2.75" customHeight="1">
      <c r="A549" s="8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2.75" customHeight="1">
      <c r="A550" s="8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2.75" customHeight="1">
      <c r="A551" s="8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2.75" customHeight="1">
      <c r="A552" s="8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2.75" customHeight="1">
      <c r="A553" s="8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2.75" customHeight="1">
      <c r="A554" s="8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2.75" customHeight="1">
      <c r="A555" s="8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2.75" customHeight="1">
      <c r="A556" s="8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2.75" customHeight="1">
      <c r="A557" s="8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2.75" customHeight="1">
      <c r="A558" s="8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2.75" customHeight="1">
      <c r="A559" s="8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2.75" customHeight="1">
      <c r="A560" s="8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2.75" customHeight="1">
      <c r="A561" s="8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2.75" customHeight="1">
      <c r="A562" s="8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2.75" customHeight="1">
      <c r="A563" s="8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2.75" customHeight="1">
      <c r="A564" s="8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2.75" customHeight="1">
      <c r="A565" s="8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2.75" customHeight="1">
      <c r="A566" s="8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2.75" customHeight="1">
      <c r="A567" s="8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2.75" customHeight="1">
      <c r="A568" s="8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2.75" customHeight="1">
      <c r="A569" s="8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2.75" customHeight="1">
      <c r="A570" s="8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2.75" customHeight="1">
      <c r="A571" s="8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2.75" customHeight="1">
      <c r="A572" s="8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2.75" customHeight="1">
      <c r="A573" s="8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2.75" customHeight="1">
      <c r="A574" s="8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2.75" customHeight="1">
      <c r="A575" s="8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2.75" customHeight="1">
      <c r="A576" s="8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2.75" customHeight="1">
      <c r="A577" s="8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2.75" customHeight="1">
      <c r="A578" s="8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2.75" customHeight="1">
      <c r="A579" s="8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2.75" customHeight="1">
      <c r="A580" s="8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2.75" customHeight="1">
      <c r="A581" s="8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2.75" customHeight="1">
      <c r="A582" s="8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2.75" customHeight="1">
      <c r="A583" s="8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2.75" customHeight="1">
      <c r="A584" s="8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2.75" customHeight="1">
      <c r="A585" s="8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2.75" customHeight="1">
      <c r="A586" s="8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2.75" customHeight="1">
      <c r="A587" s="8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2.75" customHeight="1">
      <c r="A588" s="8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2.75" customHeight="1">
      <c r="A589" s="8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2.75" customHeight="1">
      <c r="A590" s="8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2.75" customHeight="1">
      <c r="A591" s="8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2.75" customHeight="1">
      <c r="A592" s="8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2.75" customHeight="1">
      <c r="A593" s="8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2.75" customHeight="1">
      <c r="A594" s="8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2.75" customHeight="1">
      <c r="A595" s="8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2.75" customHeight="1">
      <c r="A596" s="8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2.75" customHeight="1">
      <c r="A597" s="8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2.75" customHeight="1">
      <c r="A598" s="8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2.75" customHeight="1">
      <c r="A599" s="8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2.75" customHeight="1">
      <c r="A600" s="8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2.75" customHeight="1">
      <c r="A601" s="8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2.75" customHeight="1">
      <c r="A602" s="8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2.75" customHeight="1">
      <c r="A603" s="8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2.75" customHeight="1">
      <c r="A604" s="8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2.75" customHeight="1">
      <c r="A605" s="8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2.75" customHeight="1">
      <c r="A606" s="8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2.75" customHeight="1">
      <c r="A607" s="8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2.75" customHeight="1">
      <c r="A608" s="8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2.75" customHeight="1">
      <c r="A609" s="8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2.75" customHeight="1">
      <c r="A610" s="8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2.75" customHeight="1">
      <c r="A611" s="8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2.75" customHeight="1">
      <c r="A612" s="8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2.75" customHeight="1">
      <c r="A613" s="8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2.75" customHeight="1">
      <c r="A614" s="8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2.75" customHeight="1">
      <c r="A615" s="8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2.75" customHeight="1">
      <c r="A616" s="8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2.75" customHeight="1">
      <c r="A617" s="8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2.75" customHeight="1">
      <c r="A618" s="8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2.75" customHeight="1">
      <c r="A619" s="8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2.75" customHeight="1">
      <c r="A620" s="8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2.75" customHeight="1">
      <c r="A621" s="8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2.75" customHeight="1">
      <c r="A622" s="8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2.75" customHeight="1">
      <c r="A623" s="8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2.75" customHeight="1">
      <c r="A624" s="8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2.75" customHeight="1">
      <c r="A625" s="8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2.75" customHeight="1">
      <c r="A626" s="8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2.75" customHeight="1">
      <c r="A627" s="8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2.75" customHeight="1">
      <c r="A628" s="8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2.75" customHeight="1">
      <c r="A629" s="8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2.75" customHeight="1">
      <c r="A630" s="8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2.75" customHeight="1">
      <c r="A631" s="8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2.75" customHeight="1">
      <c r="A632" s="8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2.75" customHeight="1">
      <c r="A633" s="8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2.75" customHeight="1">
      <c r="A634" s="8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2.75" customHeight="1">
      <c r="A635" s="8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2.75" customHeight="1">
      <c r="A636" s="8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2.75" customHeight="1">
      <c r="A637" s="8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2.75" customHeight="1">
      <c r="A638" s="8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2.75" customHeight="1">
      <c r="A639" s="8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2.75" customHeight="1">
      <c r="A640" s="8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2.75" customHeight="1">
      <c r="A641" s="8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2.75" customHeight="1">
      <c r="A642" s="8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2.75" customHeight="1">
      <c r="A643" s="8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2.75" customHeight="1">
      <c r="A644" s="8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2.75" customHeight="1">
      <c r="A645" s="8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2.75" customHeight="1">
      <c r="A646" s="8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2.75" customHeight="1">
      <c r="A647" s="8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2.75" customHeight="1">
      <c r="A648" s="8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2.75" customHeight="1">
      <c r="A649" s="8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2.75" customHeight="1">
      <c r="A650" s="8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2.75" customHeight="1">
      <c r="A651" s="8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2.75" customHeight="1">
      <c r="A652" s="8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2.75" customHeight="1">
      <c r="A653" s="8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2.75" customHeight="1">
      <c r="A654" s="8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2.75" customHeight="1">
      <c r="A655" s="8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2.75" customHeight="1">
      <c r="A656" s="8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2.75" customHeight="1">
      <c r="A657" s="8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2.75" customHeight="1">
      <c r="A658" s="8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2.75" customHeight="1">
      <c r="A659" s="8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2.75" customHeight="1">
      <c r="A660" s="8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2.75" customHeight="1">
      <c r="A661" s="8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2.75" customHeight="1">
      <c r="A662" s="8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2.75" customHeight="1">
      <c r="A663" s="8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2.75" customHeight="1">
      <c r="A664" s="8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2.75" customHeight="1">
      <c r="A665" s="8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2.75" customHeight="1">
      <c r="A666" s="8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2.75" customHeight="1">
      <c r="A667" s="8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2.75" customHeight="1">
      <c r="A668" s="8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2.75" customHeight="1">
      <c r="A669" s="8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2.75" customHeight="1">
      <c r="A670" s="8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2.75" customHeight="1">
      <c r="A671" s="8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2.75" customHeight="1">
      <c r="A672" s="8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2.75" customHeight="1">
      <c r="A673" s="8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2.75" customHeight="1">
      <c r="A674" s="8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2.75" customHeight="1">
      <c r="A675" s="8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2.75" customHeight="1">
      <c r="A676" s="8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2.75" customHeight="1">
      <c r="A677" s="8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2.75" customHeight="1">
      <c r="A678" s="8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2.75" customHeight="1">
      <c r="A679" s="8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2.75" customHeight="1">
      <c r="A680" s="8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2.75" customHeight="1">
      <c r="A681" s="8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2.75" customHeight="1">
      <c r="A682" s="8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2.75" customHeight="1">
      <c r="A683" s="8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2.75" customHeight="1">
      <c r="A684" s="8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2.75" customHeight="1">
      <c r="A685" s="8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2.75" customHeight="1">
      <c r="A686" s="8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2.75" customHeight="1">
      <c r="A687" s="8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2.75" customHeight="1">
      <c r="A688" s="8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2.75" customHeight="1">
      <c r="A689" s="8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2.75" customHeight="1">
      <c r="A690" s="8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2.75" customHeight="1">
      <c r="A691" s="8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2.75" customHeight="1">
      <c r="A692" s="8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2.75" customHeight="1">
      <c r="A693" s="8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2.75" customHeight="1">
      <c r="A694" s="8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2.75" customHeight="1">
      <c r="A695" s="8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2.75" customHeight="1">
      <c r="A696" s="8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2.75" customHeight="1">
      <c r="A697" s="8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2.75" customHeight="1">
      <c r="A698" s="8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2.75" customHeight="1">
      <c r="A699" s="8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2.75" customHeight="1">
      <c r="A700" s="8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2.75" customHeight="1">
      <c r="A701" s="8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2.75" customHeight="1">
      <c r="A702" s="8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2.75" customHeight="1">
      <c r="A703" s="8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2.75" customHeight="1">
      <c r="A704" s="8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2.75" customHeight="1">
      <c r="A705" s="8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2.75" customHeight="1">
      <c r="A706" s="8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2.75" customHeight="1">
      <c r="A707" s="8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2.75" customHeight="1">
      <c r="A708" s="8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2.75" customHeight="1">
      <c r="A709" s="8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2.75" customHeight="1">
      <c r="A710" s="8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2.75" customHeight="1">
      <c r="A711" s="8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2.75" customHeight="1">
      <c r="A712" s="8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2.75" customHeight="1">
      <c r="A713" s="8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2.75" customHeight="1">
      <c r="A714" s="8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2.75" customHeight="1">
      <c r="A715" s="8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2.75" customHeight="1">
      <c r="A716" s="8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2.75" customHeight="1">
      <c r="A717" s="8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2.75" customHeight="1">
      <c r="A718" s="8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2.75" customHeight="1">
      <c r="A719" s="8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2.75" customHeight="1">
      <c r="A720" s="8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2.75" customHeight="1">
      <c r="A721" s="8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2.75" customHeight="1">
      <c r="A722" s="8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2.75" customHeight="1">
      <c r="A723" s="8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2.75" customHeight="1">
      <c r="A724" s="8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2.75" customHeight="1">
      <c r="A725" s="8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2.75" customHeight="1">
      <c r="A726" s="8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2.75" customHeight="1">
      <c r="A727" s="8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2.75" customHeight="1">
      <c r="A728" s="8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2.75" customHeight="1">
      <c r="A729" s="8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2.75" customHeight="1">
      <c r="A730" s="8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2.75" customHeight="1">
      <c r="A731" s="8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2.75" customHeight="1">
      <c r="A732" s="8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2.75" customHeight="1">
      <c r="A733" s="8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2.75" customHeight="1">
      <c r="A734" s="8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2.75" customHeight="1">
      <c r="A735" s="8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2.75" customHeight="1">
      <c r="A736" s="8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2.75" customHeight="1">
      <c r="A737" s="8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2.75" customHeight="1">
      <c r="A738" s="8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2.75" customHeight="1">
      <c r="A739" s="8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2.75" customHeight="1">
      <c r="A740" s="8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2.75" customHeight="1">
      <c r="A741" s="8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2.75" customHeight="1">
      <c r="A742" s="8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2.75" customHeight="1">
      <c r="A743" s="8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2.75" customHeight="1">
      <c r="A744" s="8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2.75" customHeight="1">
      <c r="A745" s="8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2.75" customHeight="1">
      <c r="A746" s="8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2.75" customHeight="1">
      <c r="A747" s="8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2.75" customHeight="1">
      <c r="A748" s="8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2.75" customHeight="1">
      <c r="A749" s="8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2.75" customHeight="1">
      <c r="A750" s="8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2.75" customHeight="1">
      <c r="A751" s="8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2.75" customHeight="1">
      <c r="A752" s="8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2.75" customHeight="1">
      <c r="A753" s="8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2.75" customHeight="1">
      <c r="A754" s="8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2.75" customHeight="1">
      <c r="A755" s="8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2.75" customHeight="1">
      <c r="A756" s="8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2.75" customHeight="1">
      <c r="A757" s="8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2.75" customHeight="1">
      <c r="A758" s="8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2.75" customHeight="1">
      <c r="A759" s="8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2.75" customHeight="1">
      <c r="A760" s="8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2.75" customHeight="1">
      <c r="A761" s="8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2.75" customHeight="1">
      <c r="A762" s="8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2.75" customHeight="1">
      <c r="A763" s="8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2.75" customHeight="1">
      <c r="A764" s="8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2.75" customHeight="1">
      <c r="A765" s="8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2.75" customHeight="1">
      <c r="A766" s="8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2.75" customHeight="1">
      <c r="A767" s="8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2.75" customHeight="1">
      <c r="A768" s="8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2.75" customHeight="1">
      <c r="A769" s="8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2.75" customHeight="1">
      <c r="A770" s="8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2.75" customHeight="1">
      <c r="A771" s="8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2.75" customHeight="1">
      <c r="A772" s="8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2.75" customHeight="1">
      <c r="A773" s="8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2.75" customHeight="1">
      <c r="A774" s="8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2.75" customHeight="1">
      <c r="A775" s="8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2.75" customHeight="1">
      <c r="A776" s="8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2.75" customHeight="1">
      <c r="A777" s="8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2.75" customHeight="1">
      <c r="A778" s="8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2.75" customHeight="1">
      <c r="A779" s="8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2.75" customHeight="1">
      <c r="A780" s="8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2.75" customHeight="1">
      <c r="A781" s="8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2.75" customHeight="1">
      <c r="A782" s="8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2.75" customHeight="1">
      <c r="A783" s="8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2.75" customHeight="1">
      <c r="A784" s="8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2.75" customHeight="1">
      <c r="A785" s="8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2.75" customHeight="1">
      <c r="A786" s="8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2.75" customHeight="1">
      <c r="A787" s="8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2.75" customHeight="1">
      <c r="A788" s="8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2.75" customHeight="1">
      <c r="A789" s="8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2.75" customHeight="1">
      <c r="A790" s="8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2.75" customHeight="1">
      <c r="A791" s="8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2.75" customHeight="1">
      <c r="A792" s="8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2.75" customHeight="1">
      <c r="A793" s="8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2.75" customHeight="1">
      <c r="A794" s="8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2.75" customHeight="1">
      <c r="A795" s="8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2.75" customHeight="1">
      <c r="A796" s="8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2.75" customHeight="1">
      <c r="A797" s="8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2.75" customHeight="1">
      <c r="A798" s="8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2.75" customHeight="1">
      <c r="A799" s="8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2.75" customHeight="1">
      <c r="A800" s="8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2.75" customHeight="1">
      <c r="A801" s="8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2.75" customHeight="1">
      <c r="A802" s="8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2.75" customHeight="1">
      <c r="A803" s="8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2.75" customHeight="1">
      <c r="A804" s="8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2.75" customHeight="1">
      <c r="A805" s="8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2.75" customHeight="1">
      <c r="A806" s="8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2.75" customHeight="1">
      <c r="A807" s="8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2.75" customHeight="1">
      <c r="A808" s="8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2.75" customHeight="1">
      <c r="A809" s="8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2.75" customHeight="1">
      <c r="A810" s="8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2.75" customHeight="1">
      <c r="A811" s="8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2.75" customHeight="1">
      <c r="A812" s="8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2.75" customHeight="1">
      <c r="A813" s="8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2.75" customHeight="1">
      <c r="A814" s="8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2.75" customHeight="1">
      <c r="A815" s="8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2.75" customHeight="1">
      <c r="A816" s="8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2.75" customHeight="1">
      <c r="A817" s="8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2.75" customHeight="1">
      <c r="A818" s="8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2.75" customHeight="1">
      <c r="A819" s="8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2.75" customHeight="1">
      <c r="A820" s="8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2.75" customHeight="1">
      <c r="A821" s="8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2.75" customHeight="1">
      <c r="A822" s="8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2.75" customHeight="1">
      <c r="A823" s="8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2.75" customHeight="1">
      <c r="A824" s="8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2.75" customHeight="1">
      <c r="A825" s="8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2.75" customHeight="1">
      <c r="A826" s="8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2.75" customHeight="1">
      <c r="A827" s="8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2.75" customHeight="1">
      <c r="A828" s="8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2.75" customHeight="1">
      <c r="A829" s="8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2.75" customHeight="1">
      <c r="A830" s="8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2.75" customHeight="1">
      <c r="A831" s="8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2.75" customHeight="1">
      <c r="A832" s="8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2.75" customHeight="1">
      <c r="A833" s="8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2.75" customHeight="1">
      <c r="A834" s="8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2.75" customHeight="1">
      <c r="A835" s="8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2.75" customHeight="1">
      <c r="A836" s="8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2.75" customHeight="1">
      <c r="A837" s="8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2.75" customHeight="1">
      <c r="A838" s="8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2.75" customHeight="1">
      <c r="A839" s="8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2.75" customHeight="1">
      <c r="A840" s="8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2.75" customHeight="1">
      <c r="A841" s="8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2.75" customHeight="1">
      <c r="A842" s="8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2.75" customHeight="1">
      <c r="A843" s="8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2.75" customHeight="1">
      <c r="A844" s="8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2.75" customHeight="1">
      <c r="A845" s="8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2.75" customHeight="1">
      <c r="A846" s="8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2.75" customHeight="1">
      <c r="A847" s="8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2.75" customHeight="1">
      <c r="A848" s="8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2.75" customHeight="1">
      <c r="A849" s="8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2.75" customHeight="1">
      <c r="A850" s="8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2.75" customHeight="1">
      <c r="A851" s="8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2.75" customHeight="1">
      <c r="A852" s="8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2.75" customHeight="1">
      <c r="A853" s="8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2.75" customHeight="1">
      <c r="A854" s="8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2.75" customHeight="1">
      <c r="A855" s="8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2.75" customHeight="1">
      <c r="A856" s="8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2.75" customHeight="1">
      <c r="A857" s="8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2.75" customHeight="1">
      <c r="A858" s="8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2.75" customHeight="1">
      <c r="A859" s="8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2.75" customHeight="1">
      <c r="A860" s="8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2.75" customHeight="1">
      <c r="A861" s="8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2.75" customHeight="1">
      <c r="A862" s="8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2.75" customHeight="1">
      <c r="A863" s="8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2.75" customHeight="1">
      <c r="A864" s="8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2.75" customHeight="1">
      <c r="A865" s="8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2.75" customHeight="1">
      <c r="A866" s="8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2.75" customHeight="1">
      <c r="A867" s="8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2.75" customHeight="1">
      <c r="A868" s="8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2.75" customHeight="1">
      <c r="A869" s="8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2.75" customHeight="1">
      <c r="A870" s="8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2.75" customHeight="1">
      <c r="A871" s="8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2.75" customHeight="1">
      <c r="A872" s="8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2.75" customHeight="1">
      <c r="A873" s="8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2.75" customHeight="1">
      <c r="A874" s="8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2.75" customHeight="1">
      <c r="A875" s="8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2.75" customHeight="1">
      <c r="A876" s="8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2.75" customHeight="1">
      <c r="A877" s="8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2.75" customHeight="1">
      <c r="A878" s="8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2.75" customHeight="1">
      <c r="A879" s="8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2.75" customHeight="1">
      <c r="A880" s="8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2.75" customHeight="1">
      <c r="A881" s="8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2.75" customHeight="1">
      <c r="A882" s="8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2.75" customHeight="1">
      <c r="A883" s="8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2.75" customHeight="1">
      <c r="A884" s="8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2.75" customHeight="1">
      <c r="A885" s="8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2.75" customHeight="1">
      <c r="A886" s="8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2.75" customHeight="1">
      <c r="A887" s="8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2.75" customHeight="1">
      <c r="A888" s="8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2.75" customHeight="1">
      <c r="A889" s="8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2.75" customHeight="1">
      <c r="A890" s="8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2.75" customHeight="1">
      <c r="A891" s="8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2.75" customHeight="1">
      <c r="A892" s="8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2.75" customHeight="1">
      <c r="A893" s="8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2.75" customHeight="1">
      <c r="A894" s="8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2.75" customHeight="1">
      <c r="A895" s="8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2.75" customHeight="1">
      <c r="A896" s="8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2.75" customHeight="1">
      <c r="A897" s="8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2.75" customHeight="1">
      <c r="A898" s="8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2.75" customHeight="1">
      <c r="A899" s="8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2.75" customHeight="1">
      <c r="A900" s="8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2.75" customHeight="1">
      <c r="A901" s="8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2.75" customHeight="1">
      <c r="A902" s="8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2.75" customHeight="1">
      <c r="A903" s="8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2.75" customHeight="1">
      <c r="A904" s="8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2.75" customHeight="1">
      <c r="A905" s="8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2.75" customHeight="1">
      <c r="A906" s="8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2.75" customHeight="1">
      <c r="A907" s="8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2.75" customHeight="1">
      <c r="A908" s="8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2.75" customHeight="1">
      <c r="A909" s="8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2.75" customHeight="1">
      <c r="A910" s="8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2.75" customHeight="1">
      <c r="A911" s="8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2.75" customHeight="1">
      <c r="A912" s="8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2.75" customHeight="1">
      <c r="A913" s="8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2.75" customHeight="1">
      <c r="A914" s="8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2.75" customHeight="1">
      <c r="A915" s="8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2.75" customHeight="1">
      <c r="A916" s="8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2.75" customHeight="1">
      <c r="A917" s="8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2.75" customHeight="1">
      <c r="A918" s="8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2.75" customHeight="1">
      <c r="A919" s="8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2.75" customHeight="1">
      <c r="A920" s="8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2.75" customHeight="1">
      <c r="A921" s="8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2.75" customHeight="1">
      <c r="A922" s="8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2.75" customHeight="1">
      <c r="A923" s="8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2.75" customHeight="1">
      <c r="A924" s="8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2.75" customHeight="1">
      <c r="A925" s="8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2.75" customHeight="1">
      <c r="A926" s="8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2.75" customHeight="1">
      <c r="A927" s="8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2.75" customHeight="1">
      <c r="A928" s="8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2.75" customHeight="1">
      <c r="A929" s="8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2.75" customHeight="1">
      <c r="A930" s="8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2.75" customHeight="1">
      <c r="A931" s="8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2.75" customHeight="1">
      <c r="A932" s="8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2.75" customHeight="1">
      <c r="A933" s="8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2.75" customHeight="1">
      <c r="A934" s="8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2.75" customHeight="1">
      <c r="A935" s="8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2.75" customHeight="1">
      <c r="A936" s="8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2.75" customHeight="1">
      <c r="A937" s="8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2.75" customHeight="1">
      <c r="A938" s="8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2.75" customHeight="1">
      <c r="A939" s="8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2.75" customHeight="1">
      <c r="A940" s="8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2.75" customHeight="1">
      <c r="A941" s="8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2.75" customHeight="1">
      <c r="A942" s="8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2.75" customHeight="1">
      <c r="A943" s="8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2.75" customHeight="1">
      <c r="A944" s="8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2.75" customHeight="1">
      <c r="A945" s="8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2.75" customHeight="1">
      <c r="A946" s="8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2.75" customHeight="1">
      <c r="A947" s="8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2.75" customHeight="1">
      <c r="A948" s="8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2.75" customHeight="1">
      <c r="A949" s="8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2.75" customHeight="1">
      <c r="A950" s="8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2.75" customHeight="1">
      <c r="A951" s="8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2.75" customHeight="1">
      <c r="A952" s="8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2.75" customHeight="1">
      <c r="A953" s="8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2.75" customHeight="1">
      <c r="A954" s="8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2.75" customHeight="1">
      <c r="A955" s="8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2.75" customHeight="1">
      <c r="A956" s="8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2.75" customHeight="1">
      <c r="A957" s="8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2.75" customHeight="1">
      <c r="A958" s="8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2.75" customHeight="1">
      <c r="A959" s="8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2.75" customHeight="1">
      <c r="A960" s="8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2.75" customHeight="1">
      <c r="A961" s="8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2.75" customHeight="1">
      <c r="A962" s="8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2.75" customHeight="1">
      <c r="A963" s="8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2.75" customHeight="1">
      <c r="A964" s="8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2.75" customHeight="1">
      <c r="A965" s="8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2.75" customHeight="1">
      <c r="A966" s="8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2.75" customHeight="1">
      <c r="A967" s="8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2.75" customHeight="1">
      <c r="A968" s="8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2.75" customHeight="1">
      <c r="A969" s="8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2.75" customHeight="1">
      <c r="A970" s="8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2.75" customHeight="1">
      <c r="A971" s="8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2.75" customHeight="1">
      <c r="A972" s="8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2.75" customHeight="1">
      <c r="A973" s="8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2.75" customHeight="1">
      <c r="A974" s="8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2.75" customHeight="1">
      <c r="A975" s="8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2.75" customHeight="1">
      <c r="A976" s="8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2.75" customHeight="1">
      <c r="A977" s="8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2.75" customHeight="1">
      <c r="A978" s="8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2.75" customHeight="1">
      <c r="A979" s="8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2.75" customHeight="1">
      <c r="A980" s="8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2.75" customHeight="1">
      <c r="A981" s="8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2.75" customHeight="1">
      <c r="A982" s="8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2.75" customHeight="1">
      <c r="A983" s="8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2.75" customHeight="1">
      <c r="A984" s="8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2.75" customHeight="1">
      <c r="A985" s="8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2.75" customHeight="1">
      <c r="A986" s="8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2.75" customHeight="1">
      <c r="A987" s="8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2.75" customHeight="1">
      <c r="A988" s="8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2.75" customHeight="1">
      <c r="A989" s="8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2.75" customHeight="1">
      <c r="A990" s="8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2.75" customHeight="1">
      <c r="A991" s="8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2.75" customHeight="1">
      <c r="A992" s="8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2.75" customHeight="1">
      <c r="A993" s="8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2.75" customHeight="1">
      <c r="A994" s="8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2.75" customHeight="1">
      <c r="A995" s="8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2.75" customHeight="1">
      <c r="A996" s="8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2.75" customHeight="1">
      <c r="A997" s="8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2.75" customHeight="1">
      <c r="A998" s="8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2.75" customHeight="1">
      <c r="A999" s="8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2.75" customHeight="1">
      <c r="A1000" s="8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4">
    <mergeCell ref="B2:F2"/>
    <mergeCell ref="B4:D4"/>
    <mergeCell ref="B5:D5"/>
    <mergeCell ref="B6:D6"/>
  </mergeCells>
  <printOptions/>
  <pageMargins bottom="0.35138888888888886" footer="0.0" header="0.0" left="0.4701388888888889" right="0.4701388888888889" top="0.5"/>
  <pageSetup paperSize="9" orientation="landscape"/>
  <headerFooter>
    <oddFooter>&amp;L 02ae-BM/PM/HDCV/FSOFT v2/1&amp;CInternal use&amp;R&amp;P/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 outlineLevelRow="1"/>
  <cols>
    <col customWidth="1" min="1" max="1" width="1.38"/>
    <col customWidth="1" min="2" max="2" width="6.5"/>
    <col customWidth="1" min="3" max="3" width="26.5"/>
    <col customWidth="1" min="4" max="4" width="17.88"/>
    <col customWidth="1" min="5" max="5" width="47.5"/>
    <col customWidth="1" min="6" max="6" width="85.5"/>
    <col customWidth="1" min="7" max="26" width="9.0"/>
  </cols>
  <sheetData>
    <row r="1" ht="12.75" customHeight="1">
      <c r="A1" s="1"/>
      <c r="B1" s="2"/>
      <c r="C1" s="3"/>
      <c r="D1" s="4" t="s">
        <v>1</v>
      </c>
      <c r="E1" s="6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2"/>
      <c r="C2" s="3"/>
      <c r="D2" s="12"/>
      <c r="E2" s="12"/>
      <c r="F2" s="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20" t="s">
        <v>4</v>
      </c>
      <c r="C3" s="23"/>
      <c r="D3" s="30" t="str">
        <f>Cover!B4</f>
        <v>Ralsei Coach House System</v>
      </c>
      <c r="E3" s="25"/>
      <c r="F3" s="2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20" t="s">
        <v>9</v>
      </c>
      <c r="C4" s="23"/>
      <c r="D4" s="30" t="str">
        <f>Cover!B5</f>
        <v>RCHS</v>
      </c>
      <c r="E4" s="25"/>
      <c r="F4" s="2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5.0" customHeight="1">
      <c r="A5" s="21"/>
      <c r="B5" s="40" t="s">
        <v>11</v>
      </c>
      <c r="C5" s="26"/>
      <c r="D5" s="45" t="s">
        <v>15</v>
      </c>
      <c r="E5" s="25"/>
      <c r="F5" s="26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2.75" customHeight="1">
      <c r="A6" s="1"/>
      <c r="B6" s="48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54"/>
      <c r="B7" s="55"/>
      <c r="C7" s="56"/>
      <c r="D7" s="56"/>
      <c r="E7" s="56"/>
      <c r="F7" s="56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21.0" customHeight="1">
      <c r="A8" s="63"/>
      <c r="B8" s="64" t="s">
        <v>27</v>
      </c>
      <c r="C8" s="65" t="s">
        <v>28</v>
      </c>
      <c r="D8" s="65" t="s">
        <v>29</v>
      </c>
      <c r="E8" s="68" t="s">
        <v>31</v>
      </c>
      <c r="F8" s="69" t="s">
        <v>32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12.75" customHeight="1">
      <c r="A9" s="1"/>
      <c r="B9" s="73">
        <v>1.0</v>
      </c>
      <c r="C9" s="74" t="s">
        <v>3</v>
      </c>
      <c r="D9" s="79" t="s">
        <v>3</v>
      </c>
      <c r="E9" s="81" t="s">
        <v>39</v>
      </c>
      <c r="F9" s="83" t="s">
        <v>41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73">
        <v>2.0</v>
      </c>
      <c r="C10" s="74" t="s">
        <v>47</v>
      </c>
      <c r="D10" s="79" t="s">
        <v>47</v>
      </c>
      <c r="E10" s="81" t="s">
        <v>48</v>
      </c>
      <c r="F10" s="83" t="s">
        <v>49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92"/>
      <c r="C11" s="94"/>
      <c r="D11" s="95"/>
      <c r="E11" s="95"/>
      <c r="F11" s="96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92"/>
      <c r="C12" s="94"/>
      <c r="D12" s="95"/>
      <c r="E12" s="95"/>
      <c r="F12" s="9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92"/>
      <c r="C13" s="94"/>
      <c r="D13" s="95"/>
      <c r="E13" s="95"/>
      <c r="F13" s="9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92"/>
      <c r="C14" s="94"/>
      <c r="D14" s="95"/>
      <c r="F14" s="9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92"/>
      <c r="C15" s="94"/>
      <c r="D15" s="105"/>
      <c r="E15" s="95"/>
      <c r="F15" s="96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92"/>
      <c r="C16" s="94"/>
      <c r="D16" s="95"/>
      <c r="E16" s="95"/>
      <c r="F16" s="9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92"/>
      <c r="C17" s="94"/>
      <c r="D17" s="95"/>
      <c r="E17" s="95"/>
      <c r="F17" s="96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92"/>
      <c r="C18" s="94"/>
      <c r="D18" s="95"/>
      <c r="E18" s="95"/>
      <c r="F18" s="96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92"/>
      <c r="C19" s="94"/>
      <c r="D19" s="95"/>
      <c r="E19" s="95"/>
      <c r="F19" s="96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92"/>
      <c r="C20" s="94"/>
      <c r="D20" s="105"/>
      <c r="E20" s="95"/>
      <c r="F20" s="96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92"/>
      <c r="C21" s="94"/>
      <c r="D21" s="95"/>
      <c r="E21" s="95"/>
      <c r="F21" s="96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92"/>
      <c r="C22" s="94"/>
      <c r="D22" s="95"/>
      <c r="E22" s="95"/>
      <c r="F22" s="96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92"/>
      <c r="C23" s="94"/>
      <c r="D23" s="95"/>
      <c r="E23" s="95"/>
      <c r="F23" s="96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92"/>
      <c r="C24" s="94"/>
      <c r="D24" s="95"/>
      <c r="E24" s="95"/>
      <c r="F24" s="9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92"/>
      <c r="C25" s="94"/>
      <c r="D25" s="105"/>
      <c r="E25" s="95"/>
      <c r="F25" s="96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92"/>
      <c r="C26" s="94"/>
      <c r="D26" s="95"/>
      <c r="E26" s="95"/>
      <c r="F26" s="96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92"/>
      <c r="C27" s="94"/>
      <c r="D27" s="95"/>
      <c r="E27" s="95"/>
      <c r="F27" s="96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92"/>
      <c r="C28" s="94"/>
      <c r="D28" s="95"/>
      <c r="E28" s="95"/>
      <c r="F28" s="96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92"/>
      <c r="C29" s="94"/>
      <c r="D29" s="95"/>
      <c r="E29" s="95"/>
      <c r="F29" s="96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92"/>
      <c r="C30" s="94"/>
      <c r="D30" s="105"/>
      <c r="E30" s="95"/>
      <c r="F30" s="96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92"/>
      <c r="C31" s="94"/>
      <c r="D31" s="95"/>
      <c r="E31" s="95"/>
      <c r="F31" s="96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92"/>
      <c r="C32" s="94"/>
      <c r="D32" s="95"/>
      <c r="E32" s="95"/>
      <c r="F32" s="9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92"/>
      <c r="C33" s="94"/>
      <c r="D33" s="95"/>
      <c r="E33" s="95"/>
      <c r="F33" s="96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92"/>
      <c r="C34" s="94"/>
      <c r="D34" s="95"/>
      <c r="E34" s="95"/>
      <c r="F34" s="96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92"/>
      <c r="C35" s="94"/>
      <c r="D35" s="105"/>
      <c r="E35" s="95"/>
      <c r="F35" s="96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92"/>
      <c r="C36" s="94"/>
      <c r="D36" s="95"/>
      <c r="E36" s="95"/>
      <c r="F36" s="96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92"/>
      <c r="C37" s="94"/>
      <c r="D37" s="95"/>
      <c r="E37" s="95"/>
      <c r="F37" s="96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92"/>
      <c r="C38" s="94"/>
      <c r="D38" s="95"/>
      <c r="E38" s="95"/>
      <c r="F38" s="143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2"/>
      <c r="C39" s="3"/>
      <c r="D39" s="3"/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2"/>
      <c r="C40" s="3"/>
      <c r="D40" s="3"/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2"/>
      <c r="C41" s="3"/>
      <c r="D41" s="3"/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2"/>
      <c r="C42" s="3"/>
      <c r="D42" s="3"/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2"/>
      <c r="C43" s="3"/>
      <c r="D43" s="3"/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2"/>
      <c r="C44" s="3"/>
      <c r="D44" s="3"/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2"/>
      <c r="C45" s="3"/>
      <c r="D45" s="3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2"/>
      <c r="C46" s="3"/>
      <c r="D46" s="3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2"/>
      <c r="C47" s="3"/>
      <c r="D47" s="3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2"/>
      <c r="C48" s="3"/>
      <c r="D48" s="3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2"/>
      <c r="C49" s="3"/>
      <c r="D49" s="3"/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2"/>
      <c r="C50" s="3"/>
      <c r="D50" s="3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2"/>
      <c r="C51" s="3"/>
      <c r="D51" s="3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2"/>
      <c r="C52" s="3"/>
      <c r="D52" s="3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2"/>
      <c r="C53" s="3"/>
      <c r="D53" s="3"/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2"/>
      <c r="C54" s="3"/>
      <c r="D54" s="3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2"/>
      <c r="C55" s="3"/>
      <c r="D55" s="3"/>
      <c r="E55" s="3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2"/>
      <c r="C56" s="3"/>
      <c r="D56" s="3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2"/>
      <c r="C57" s="3"/>
      <c r="D57" s="3"/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2"/>
      <c r="C58" s="3"/>
      <c r="D58" s="3"/>
      <c r="E58" s="3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2"/>
      <c r="C59" s="3"/>
      <c r="D59" s="3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2"/>
      <c r="C60" s="3"/>
      <c r="D60" s="3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2"/>
      <c r="C61" s="3"/>
      <c r="D61" s="3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2"/>
      <c r="C62" s="3"/>
      <c r="D62" s="3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2"/>
      <c r="C63" s="3"/>
      <c r="D63" s="3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2"/>
      <c r="C64" s="3"/>
      <c r="D64" s="3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2"/>
      <c r="C65" s="3"/>
      <c r="D65" s="3"/>
      <c r="E65" s="3"/>
      <c r="F65" s="3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2"/>
      <c r="C66" s="3"/>
      <c r="D66" s="3"/>
      <c r="E66" s="3"/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2"/>
      <c r="C67" s="3"/>
      <c r="D67" s="3"/>
      <c r="E67" s="3"/>
      <c r="F67" s="3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2"/>
      <c r="C68" s="3"/>
      <c r="D68" s="3"/>
      <c r="E68" s="3"/>
      <c r="F68" s="3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2"/>
      <c r="C69" s="3"/>
      <c r="D69" s="3"/>
      <c r="E69" s="3"/>
      <c r="F69" s="3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2"/>
      <c r="C70" s="3"/>
      <c r="D70" s="3"/>
      <c r="E70" s="3"/>
      <c r="F70" s="3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2"/>
      <c r="C71" s="3"/>
      <c r="D71" s="3"/>
      <c r="E71" s="3"/>
      <c r="F71" s="3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2"/>
      <c r="C72" s="3"/>
      <c r="D72" s="3"/>
      <c r="E72" s="3"/>
      <c r="F72" s="3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2"/>
      <c r="C73" s="3"/>
      <c r="D73" s="3"/>
      <c r="E73" s="3"/>
      <c r="F73" s="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2"/>
      <c r="C74" s="3"/>
      <c r="D74" s="3"/>
      <c r="E74" s="3"/>
      <c r="F74" s="3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2"/>
      <c r="C75" s="3"/>
      <c r="D75" s="3"/>
      <c r="E75" s="3"/>
      <c r="F75" s="3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2"/>
      <c r="C76" s="3"/>
      <c r="D76" s="3"/>
      <c r="E76" s="3"/>
      <c r="F76" s="3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2"/>
      <c r="C77" s="3"/>
      <c r="D77" s="3"/>
      <c r="E77" s="3"/>
      <c r="F77" s="3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2"/>
      <c r="C78" s="3"/>
      <c r="D78" s="3"/>
      <c r="E78" s="3"/>
      <c r="F78" s="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2"/>
      <c r="C79" s="3"/>
      <c r="D79" s="3"/>
      <c r="E79" s="3"/>
      <c r="F79" s="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2"/>
      <c r="C80" s="3"/>
      <c r="D80" s="3"/>
      <c r="E80" s="3"/>
      <c r="F80" s="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2"/>
      <c r="C81" s="3"/>
      <c r="D81" s="3"/>
      <c r="E81" s="3"/>
      <c r="F81" s="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2"/>
      <c r="C82" s="3"/>
      <c r="D82" s="3"/>
      <c r="E82" s="3"/>
      <c r="F82" s="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2"/>
      <c r="C83" s="3"/>
      <c r="D83" s="3"/>
      <c r="E83" s="3"/>
      <c r="F83" s="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2"/>
      <c r="C84" s="3"/>
      <c r="D84" s="3"/>
      <c r="E84" s="3"/>
      <c r="F84" s="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2"/>
      <c r="C85" s="3"/>
      <c r="D85" s="3"/>
      <c r="E85" s="3"/>
      <c r="F85" s="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2"/>
      <c r="C86" s="3"/>
      <c r="D86" s="3"/>
      <c r="E86" s="3"/>
      <c r="F86" s="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2"/>
      <c r="C87" s="3"/>
      <c r="D87" s="3"/>
      <c r="E87" s="3"/>
      <c r="F87" s="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2"/>
      <c r="C88" s="3"/>
      <c r="D88" s="3"/>
      <c r="E88" s="3"/>
      <c r="F88" s="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2"/>
      <c r="C89" s="3"/>
      <c r="D89" s="3"/>
      <c r="E89" s="3"/>
      <c r="F89" s="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2"/>
      <c r="C90" s="3"/>
      <c r="D90" s="3"/>
      <c r="E90" s="3"/>
      <c r="F90" s="3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2"/>
      <c r="C91" s="3"/>
      <c r="D91" s="3"/>
      <c r="E91" s="3"/>
      <c r="F91" s="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2"/>
      <c r="C92" s="3"/>
      <c r="D92" s="3"/>
      <c r="E92" s="3"/>
      <c r="F92" s="3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2"/>
      <c r="C93" s="3"/>
      <c r="D93" s="3"/>
      <c r="E93" s="3"/>
      <c r="F93" s="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2"/>
      <c r="C94" s="3"/>
      <c r="D94" s="3"/>
      <c r="E94" s="3"/>
      <c r="F94" s="3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2"/>
      <c r="C95" s="3"/>
      <c r="D95" s="3"/>
      <c r="E95" s="3"/>
      <c r="F95" s="3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2"/>
      <c r="C96" s="3"/>
      <c r="D96" s="3"/>
      <c r="E96" s="3"/>
      <c r="F96" s="3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2"/>
      <c r="C97" s="3"/>
      <c r="D97" s="3"/>
      <c r="E97" s="3"/>
      <c r="F97" s="3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2"/>
      <c r="C98" s="3"/>
      <c r="D98" s="3"/>
      <c r="E98" s="3"/>
      <c r="F98" s="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2"/>
      <c r="C99" s="3"/>
      <c r="D99" s="3"/>
      <c r="E99" s="3"/>
      <c r="F99" s="3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2"/>
      <c r="C100" s="3"/>
      <c r="D100" s="3"/>
      <c r="E100" s="3"/>
      <c r="F100" s="3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2"/>
      <c r="C101" s="3"/>
      <c r="D101" s="3"/>
      <c r="E101" s="3"/>
      <c r="F101" s="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2"/>
      <c r="C102" s="3"/>
      <c r="D102" s="3"/>
      <c r="E102" s="3"/>
      <c r="F102" s="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2"/>
      <c r="C103" s="3"/>
      <c r="D103" s="3"/>
      <c r="E103" s="3"/>
      <c r="F103" s="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2"/>
      <c r="C104" s="3"/>
      <c r="D104" s="3"/>
      <c r="E104" s="3"/>
      <c r="F104" s="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2"/>
      <c r="C105" s="3"/>
      <c r="D105" s="3"/>
      <c r="E105" s="3"/>
      <c r="F105" s="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2"/>
      <c r="C106" s="3"/>
      <c r="D106" s="3"/>
      <c r="E106" s="3"/>
      <c r="F106" s="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2"/>
      <c r="C107" s="3"/>
      <c r="D107" s="3"/>
      <c r="E107" s="3"/>
      <c r="F107" s="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2"/>
      <c r="C108" s="3"/>
      <c r="D108" s="3"/>
      <c r="E108" s="3"/>
      <c r="F108" s="3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2"/>
      <c r="C109" s="3"/>
      <c r="D109" s="3"/>
      <c r="E109" s="3"/>
      <c r="F109" s="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2"/>
      <c r="C110" s="3"/>
      <c r="D110" s="3"/>
      <c r="E110" s="3"/>
      <c r="F110" s="3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2"/>
      <c r="C111" s="3"/>
      <c r="D111" s="3"/>
      <c r="E111" s="3"/>
      <c r="F111" s="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2"/>
      <c r="C112" s="3"/>
      <c r="D112" s="3"/>
      <c r="E112" s="3"/>
      <c r="F112" s="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2"/>
      <c r="C113" s="3"/>
      <c r="D113" s="3"/>
      <c r="E113" s="3"/>
      <c r="F113" s="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2"/>
      <c r="C114" s="3"/>
      <c r="D114" s="3"/>
      <c r="E114" s="3"/>
      <c r="F114" s="3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2"/>
      <c r="C115" s="3"/>
      <c r="D115" s="3"/>
      <c r="E115" s="3"/>
      <c r="F115" s="3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2"/>
      <c r="C116" s="3"/>
      <c r="D116" s="3"/>
      <c r="E116" s="3"/>
      <c r="F116" s="3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2"/>
      <c r="C117" s="3"/>
      <c r="D117" s="3"/>
      <c r="E117" s="3"/>
      <c r="F117" s="3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2"/>
      <c r="C118" s="3"/>
      <c r="D118" s="3"/>
      <c r="E118" s="3"/>
      <c r="F118" s="3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2"/>
      <c r="C119" s="3"/>
      <c r="D119" s="3"/>
      <c r="E119" s="3"/>
      <c r="F119" s="3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2"/>
      <c r="C120" s="3"/>
      <c r="D120" s="3"/>
      <c r="E120" s="3"/>
      <c r="F120" s="3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2"/>
      <c r="C121" s="3"/>
      <c r="D121" s="3"/>
      <c r="E121" s="3"/>
      <c r="F121" s="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2"/>
      <c r="C122" s="3"/>
      <c r="D122" s="3"/>
      <c r="E122" s="3"/>
      <c r="F122" s="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2"/>
      <c r="C123" s="3"/>
      <c r="D123" s="3"/>
      <c r="E123" s="3"/>
      <c r="F123" s="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2"/>
      <c r="C124" s="3"/>
      <c r="D124" s="3"/>
      <c r="E124" s="3"/>
      <c r="F124" s="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2"/>
      <c r="C125" s="3"/>
      <c r="D125" s="3"/>
      <c r="E125" s="3"/>
      <c r="F125" s="3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2"/>
      <c r="C126" s="3"/>
      <c r="D126" s="3"/>
      <c r="E126" s="3"/>
      <c r="F126" s="3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2"/>
      <c r="C127" s="3"/>
      <c r="D127" s="3"/>
      <c r="E127" s="3"/>
      <c r="F127" s="3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2"/>
      <c r="C128" s="3"/>
      <c r="D128" s="3"/>
      <c r="E128" s="3"/>
      <c r="F128" s="3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2"/>
      <c r="C129" s="3"/>
      <c r="D129" s="3"/>
      <c r="E129" s="3"/>
      <c r="F129" s="3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2"/>
      <c r="C130" s="3"/>
      <c r="D130" s="3"/>
      <c r="E130" s="3"/>
      <c r="F130" s="3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2"/>
      <c r="C131" s="3"/>
      <c r="D131" s="3"/>
      <c r="E131" s="3"/>
      <c r="F131" s="3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2"/>
      <c r="C132" s="3"/>
      <c r="D132" s="3"/>
      <c r="E132" s="3"/>
      <c r="F132" s="3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2"/>
      <c r="C133" s="3"/>
      <c r="D133" s="3"/>
      <c r="E133" s="3"/>
      <c r="F133" s="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2"/>
      <c r="C134" s="3"/>
      <c r="D134" s="3"/>
      <c r="E134" s="3"/>
      <c r="F134" s="3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2"/>
      <c r="C135" s="3"/>
      <c r="D135" s="3"/>
      <c r="E135" s="3"/>
      <c r="F135" s="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2"/>
      <c r="C136" s="3"/>
      <c r="D136" s="3"/>
      <c r="E136" s="3"/>
      <c r="F136" s="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2"/>
      <c r="C137" s="3"/>
      <c r="D137" s="3"/>
      <c r="E137" s="3"/>
      <c r="F137" s="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2"/>
      <c r="C138" s="3"/>
      <c r="D138" s="3"/>
      <c r="E138" s="3"/>
      <c r="F138" s="3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2"/>
      <c r="C139" s="3"/>
      <c r="D139" s="3"/>
      <c r="E139" s="3"/>
      <c r="F139" s="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2"/>
      <c r="C140" s="3"/>
      <c r="D140" s="3"/>
      <c r="E140" s="3"/>
      <c r="F140" s="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2"/>
      <c r="C141" s="3"/>
      <c r="D141" s="3"/>
      <c r="E141" s="3"/>
      <c r="F141" s="3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2"/>
      <c r="C142" s="3"/>
      <c r="D142" s="3"/>
      <c r="E142" s="3"/>
      <c r="F142" s="3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2"/>
      <c r="C143" s="3"/>
      <c r="D143" s="3"/>
      <c r="E143" s="3"/>
      <c r="F143" s="3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2"/>
      <c r="C144" s="3"/>
      <c r="D144" s="3"/>
      <c r="E144" s="3"/>
      <c r="F144" s="3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2"/>
      <c r="C145" s="3"/>
      <c r="D145" s="3"/>
      <c r="E145" s="3"/>
      <c r="F145" s="3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2"/>
      <c r="C146" s="3"/>
      <c r="D146" s="3"/>
      <c r="E146" s="3"/>
      <c r="F146" s="3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2"/>
      <c r="C147" s="3"/>
      <c r="D147" s="3"/>
      <c r="E147" s="3"/>
      <c r="F147" s="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2"/>
      <c r="C148" s="3"/>
      <c r="D148" s="3"/>
      <c r="E148" s="3"/>
      <c r="F148" s="3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2"/>
      <c r="C149" s="3"/>
      <c r="D149" s="3"/>
      <c r="E149" s="3"/>
      <c r="F149" s="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2"/>
      <c r="C150" s="3"/>
      <c r="D150" s="3"/>
      <c r="E150" s="3"/>
      <c r="F150" s="3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2"/>
      <c r="C151" s="3"/>
      <c r="D151" s="3"/>
      <c r="E151" s="3"/>
      <c r="F151" s="3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2"/>
      <c r="C152" s="3"/>
      <c r="D152" s="3"/>
      <c r="E152" s="3"/>
      <c r="F152" s="3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2"/>
      <c r="C153" s="3"/>
      <c r="D153" s="3"/>
      <c r="E153" s="3"/>
      <c r="F153" s="3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2"/>
      <c r="C154" s="3"/>
      <c r="D154" s="3"/>
      <c r="E154" s="3"/>
      <c r="F154" s="3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2"/>
      <c r="C155" s="3"/>
      <c r="D155" s="3"/>
      <c r="E155" s="3"/>
      <c r="F155" s="3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2"/>
      <c r="C156" s="3"/>
      <c r="D156" s="3"/>
      <c r="E156" s="3"/>
      <c r="F156" s="3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2"/>
      <c r="C157" s="3"/>
      <c r="D157" s="3"/>
      <c r="E157" s="3"/>
      <c r="F157" s="3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2"/>
      <c r="C158" s="3"/>
      <c r="D158" s="3"/>
      <c r="E158" s="3"/>
      <c r="F158" s="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2"/>
      <c r="C159" s="3"/>
      <c r="D159" s="3"/>
      <c r="E159" s="3"/>
      <c r="F159" s="3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2"/>
      <c r="C160" s="3"/>
      <c r="D160" s="3"/>
      <c r="E160" s="3"/>
      <c r="F160" s="3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2"/>
      <c r="C161" s="3"/>
      <c r="D161" s="3"/>
      <c r="E161" s="3"/>
      <c r="F161" s="3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2"/>
      <c r="C162" s="3"/>
      <c r="D162" s="3"/>
      <c r="E162" s="3"/>
      <c r="F162" s="3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2"/>
      <c r="C163" s="3"/>
      <c r="D163" s="3"/>
      <c r="E163" s="3"/>
      <c r="F163" s="3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2"/>
      <c r="C164" s="3"/>
      <c r="D164" s="3"/>
      <c r="E164" s="3"/>
      <c r="F164" s="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2"/>
      <c r="C165" s="3"/>
      <c r="D165" s="3"/>
      <c r="E165" s="3"/>
      <c r="F165" s="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2"/>
      <c r="C166" s="3"/>
      <c r="D166" s="3"/>
      <c r="E166" s="3"/>
      <c r="F166" s="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2"/>
      <c r="C167" s="3"/>
      <c r="D167" s="3"/>
      <c r="E167" s="3"/>
      <c r="F167" s="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2"/>
      <c r="C168" s="3"/>
      <c r="D168" s="3"/>
      <c r="E168" s="3"/>
      <c r="F168" s="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2"/>
      <c r="C169" s="3"/>
      <c r="D169" s="3"/>
      <c r="E169" s="3"/>
      <c r="F169" s="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2"/>
      <c r="C170" s="3"/>
      <c r="D170" s="3"/>
      <c r="E170" s="3"/>
      <c r="F170" s="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2"/>
      <c r="C171" s="3"/>
      <c r="D171" s="3"/>
      <c r="E171" s="3"/>
      <c r="F171" s="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2"/>
      <c r="C172" s="3"/>
      <c r="D172" s="3"/>
      <c r="E172" s="3"/>
      <c r="F172" s="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2"/>
      <c r="C173" s="3"/>
      <c r="D173" s="3"/>
      <c r="E173" s="3"/>
      <c r="F173" s="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2"/>
      <c r="C174" s="3"/>
      <c r="D174" s="3"/>
      <c r="E174" s="3"/>
      <c r="F174" s="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2"/>
      <c r="C175" s="3"/>
      <c r="D175" s="3"/>
      <c r="E175" s="3"/>
      <c r="F175" s="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2"/>
      <c r="C176" s="3"/>
      <c r="D176" s="3"/>
      <c r="E176" s="3"/>
      <c r="F176" s="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2"/>
      <c r="C177" s="3"/>
      <c r="D177" s="3"/>
      <c r="E177" s="3"/>
      <c r="F177" s="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2"/>
      <c r="C178" s="3"/>
      <c r="D178" s="3"/>
      <c r="E178" s="3"/>
      <c r="F178" s="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2"/>
      <c r="C179" s="3"/>
      <c r="D179" s="3"/>
      <c r="E179" s="3"/>
      <c r="F179" s="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2"/>
      <c r="C180" s="3"/>
      <c r="D180" s="3"/>
      <c r="E180" s="3"/>
      <c r="F180" s="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2"/>
      <c r="C181" s="3"/>
      <c r="D181" s="3"/>
      <c r="E181" s="3"/>
      <c r="F181" s="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2"/>
      <c r="C182" s="3"/>
      <c r="D182" s="3"/>
      <c r="E182" s="3"/>
      <c r="F182" s="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2"/>
      <c r="C183" s="3"/>
      <c r="D183" s="3"/>
      <c r="E183" s="3"/>
      <c r="F183" s="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2"/>
      <c r="C184" s="3"/>
      <c r="D184" s="3"/>
      <c r="E184" s="3"/>
      <c r="F184" s="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2"/>
      <c r="C185" s="3"/>
      <c r="D185" s="3"/>
      <c r="E185" s="3"/>
      <c r="F185" s="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2"/>
      <c r="C186" s="3"/>
      <c r="D186" s="3"/>
      <c r="E186" s="3"/>
      <c r="F186" s="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2"/>
      <c r="C187" s="3"/>
      <c r="D187" s="3"/>
      <c r="E187" s="3"/>
      <c r="F187" s="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2"/>
      <c r="C188" s="3"/>
      <c r="D188" s="3"/>
      <c r="E188" s="3"/>
      <c r="F188" s="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2"/>
      <c r="C189" s="3"/>
      <c r="D189" s="3"/>
      <c r="E189" s="3"/>
      <c r="F189" s="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2"/>
      <c r="C190" s="3"/>
      <c r="D190" s="3"/>
      <c r="E190" s="3"/>
      <c r="F190" s="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2"/>
      <c r="C191" s="3"/>
      <c r="D191" s="3"/>
      <c r="E191" s="3"/>
      <c r="F191" s="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2"/>
      <c r="C192" s="3"/>
      <c r="D192" s="3"/>
      <c r="E192" s="3"/>
      <c r="F192" s="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2"/>
      <c r="C193" s="3"/>
      <c r="D193" s="3"/>
      <c r="E193" s="3"/>
      <c r="F193" s="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2"/>
      <c r="C194" s="3"/>
      <c r="D194" s="3"/>
      <c r="E194" s="3"/>
      <c r="F194" s="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2"/>
      <c r="C195" s="3"/>
      <c r="D195" s="3"/>
      <c r="E195" s="3"/>
      <c r="F195" s="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2"/>
      <c r="C196" s="3"/>
      <c r="D196" s="3"/>
      <c r="E196" s="3"/>
      <c r="F196" s="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2"/>
      <c r="C197" s="3"/>
      <c r="D197" s="3"/>
      <c r="E197" s="3"/>
      <c r="F197" s="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2"/>
      <c r="C198" s="3"/>
      <c r="D198" s="3"/>
      <c r="E198" s="3"/>
      <c r="F198" s="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2"/>
      <c r="C199" s="3"/>
      <c r="D199" s="3"/>
      <c r="E199" s="3"/>
      <c r="F199" s="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2"/>
      <c r="C200" s="3"/>
      <c r="D200" s="3"/>
      <c r="E200" s="3"/>
      <c r="F200" s="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2"/>
      <c r="C201" s="3"/>
      <c r="D201" s="3"/>
      <c r="E201" s="3"/>
      <c r="F201" s="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2"/>
      <c r="C202" s="3"/>
      <c r="D202" s="3"/>
      <c r="E202" s="3"/>
      <c r="F202" s="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2"/>
      <c r="C203" s="3"/>
      <c r="D203" s="3"/>
      <c r="E203" s="3"/>
      <c r="F203" s="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2"/>
      <c r="C204" s="3"/>
      <c r="D204" s="3"/>
      <c r="E204" s="3"/>
      <c r="F204" s="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2"/>
      <c r="C205" s="3"/>
      <c r="D205" s="3"/>
      <c r="E205" s="3"/>
      <c r="F205" s="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2"/>
      <c r="C206" s="3"/>
      <c r="D206" s="3"/>
      <c r="E206" s="3"/>
      <c r="F206" s="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2"/>
      <c r="C207" s="3"/>
      <c r="D207" s="3"/>
      <c r="E207" s="3"/>
      <c r="F207" s="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2"/>
      <c r="C208" s="3"/>
      <c r="D208" s="3"/>
      <c r="E208" s="3"/>
      <c r="F208" s="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2"/>
      <c r="C209" s="3"/>
      <c r="D209" s="3"/>
      <c r="E209" s="3"/>
      <c r="F209" s="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2"/>
      <c r="C210" s="3"/>
      <c r="D210" s="3"/>
      <c r="E210" s="3"/>
      <c r="F210" s="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2"/>
      <c r="C211" s="3"/>
      <c r="D211" s="3"/>
      <c r="E211" s="3"/>
      <c r="F211" s="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2"/>
      <c r="C212" s="3"/>
      <c r="D212" s="3"/>
      <c r="E212" s="3"/>
      <c r="F212" s="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2"/>
      <c r="C213" s="3"/>
      <c r="D213" s="3"/>
      <c r="E213" s="3"/>
      <c r="F213" s="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2"/>
      <c r="C214" s="3"/>
      <c r="D214" s="3"/>
      <c r="E214" s="3"/>
      <c r="F214" s="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2"/>
      <c r="C215" s="3"/>
      <c r="D215" s="3"/>
      <c r="E215" s="3"/>
      <c r="F215" s="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2"/>
      <c r="C216" s="3"/>
      <c r="D216" s="3"/>
      <c r="E216" s="3"/>
      <c r="F216" s="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2"/>
      <c r="C217" s="3"/>
      <c r="D217" s="3"/>
      <c r="E217" s="3"/>
      <c r="F217" s="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2"/>
      <c r="C218" s="3"/>
      <c r="D218" s="3"/>
      <c r="E218" s="3"/>
      <c r="F218" s="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2"/>
      <c r="C219" s="3"/>
      <c r="D219" s="3"/>
      <c r="E219" s="3"/>
      <c r="F219" s="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2"/>
      <c r="C220" s="3"/>
      <c r="D220" s="3"/>
      <c r="E220" s="3"/>
      <c r="F220" s="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2"/>
      <c r="C221" s="3"/>
      <c r="D221" s="3"/>
      <c r="E221" s="3"/>
      <c r="F221" s="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2"/>
      <c r="C222" s="3"/>
      <c r="D222" s="3"/>
      <c r="E222" s="3"/>
      <c r="F222" s="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2"/>
      <c r="C223" s="3"/>
      <c r="D223" s="3"/>
      <c r="E223" s="3"/>
      <c r="F223" s="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2"/>
      <c r="C224" s="3"/>
      <c r="D224" s="3"/>
      <c r="E224" s="3"/>
      <c r="F224" s="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2"/>
      <c r="C225" s="3"/>
      <c r="D225" s="3"/>
      <c r="E225" s="3"/>
      <c r="F225" s="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2"/>
      <c r="C226" s="3"/>
      <c r="D226" s="3"/>
      <c r="E226" s="3"/>
      <c r="F226" s="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2"/>
      <c r="C227" s="3"/>
      <c r="D227" s="3"/>
      <c r="E227" s="3"/>
      <c r="F227" s="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2"/>
      <c r="C228" s="3"/>
      <c r="D228" s="3"/>
      <c r="E228" s="3"/>
      <c r="F228" s="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2"/>
      <c r="C229" s="3"/>
      <c r="D229" s="3"/>
      <c r="E229" s="3"/>
      <c r="F229" s="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2"/>
      <c r="C230" s="3"/>
      <c r="D230" s="3"/>
      <c r="E230" s="3"/>
      <c r="F230" s="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2"/>
      <c r="C231" s="3"/>
      <c r="D231" s="3"/>
      <c r="E231" s="3"/>
      <c r="F231" s="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2"/>
      <c r="C232" s="3"/>
      <c r="D232" s="3"/>
      <c r="E232" s="3"/>
      <c r="F232" s="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2"/>
      <c r="C233" s="3"/>
      <c r="D233" s="3"/>
      <c r="E233" s="3"/>
      <c r="F233" s="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2"/>
      <c r="C234" s="3"/>
      <c r="D234" s="3"/>
      <c r="E234" s="3"/>
      <c r="F234" s="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2"/>
      <c r="C235" s="3"/>
      <c r="D235" s="3"/>
      <c r="E235" s="3"/>
      <c r="F235" s="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2"/>
      <c r="C236" s="3"/>
      <c r="D236" s="3"/>
      <c r="E236" s="3"/>
      <c r="F236" s="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2"/>
      <c r="C237" s="3"/>
      <c r="D237" s="3"/>
      <c r="E237" s="3"/>
      <c r="F237" s="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2"/>
      <c r="C238" s="3"/>
      <c r="D238" s="3"/>
      <c r="E238" s="3"/>
      <c r="F238" s="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2"/>
      <c r="C239" s="3"/>
      <c r="D239" s="3"/>
      <c r="E239" s="3"/>
      <c r="F239" s="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2"/>
      <c r="C240" s="3"/>
      <c r="D240" s="3"/>
      <c r="E240" s="3"/>
      <c r="F240" s="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2"/>
      <c r="C241" s="3"/>
      <c r="D241" s="3"/>
      <c r="E241" s="3"/>
      <c r="F241" s="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2"/>
      <c r="C242" s="3"/>
      <c r="D242" s="3"/>
      <c r="E242" s="3"/>
      <c r="F242" s="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2"/>
      <c r="C243" s="3"/>
      <c r="D243" s="3"/>
      <c r="E243" s="3"/>
      <c r="F243" s="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2"/>
      <c r="C244" s="3"/>
      <c r="D244" s="3"/>
      <c r="E244" s="3"/>
      <c r="F244" s="3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2"/>
      <c r="C245" s="3"/>
      <c r="D245" s="3"/>
      <c r="E245" s="3"/>
      <c r="F245" s="3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2"/>
      <c r="C246" s="3"/>
      <c r="D246" s="3"/>
      <c r="E246" s="3"/>
      <c r="F246" s="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2"/>
      <c r="C247" s="3"/>
      <c r="D247" s="3"/>
      <c r="E247" s="3"/>
      <c r="F247" s="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2"/>
      <c r="C248" s="3"/>
      <c r="D248" s="3"/>
      <c r="E248" s="3"/>
      <c r="F248" s="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2"/>
      <c r="C249" s="3"/>
      <c r="D249" s="3"/>
      <c r="E249" s="3"/>
      <c r="F249" s="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2"/>
      <c r="C250" s="3"/>
      <c r="D250" s="3"/>
      <c r="E250" s="3"/>
      <c r="F250" s="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2"/>
      <c r="C251" s="3"/>
      <c r="D251" s="3"/>
      <c r="E251" s="3"/>
      <c r="F251" s="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2"/>
      <c r="C252" s="3"/>
      <c r="D252" s="3"/>
      <c r="E252" s="3"/>
      <c r="F252" s="3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2"/>
      <c r="C253" s="3"/>
      <c r="D253" s="3"/>
      <c r="E253" s="3"/>
      <c r="F253" s="3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2"/>
      <c r="C254" s="3"/>
      <c r="D254" s="3"/>
      <c r="E254" s="3"/>
      <c r="F254" s="3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2"/>
      <c r="C255" s="3"/>
      <c r="D255" s="3"/>
      <c r="E255" s="3"/>
      <c r="F255" s="3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2"/>
      <c r="C256" s="3"/>
      <c r="D256" s="3"/>
      <c r="E256" s="3"/>
      <c r="F256" s="3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2"/>
      <c r="C257" s="3"/>
      <c r="D257" s="3"/>
      <c r="E257" s="3"/>
      <c r="F257" s="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2"/>
      <c r="C258" s="3"/>
      <c r="D258" s="3"/>
      <c r="E258" s="3"/>
      <c r="F258" s="3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2"/>
      <c r="C259" s="3"/>
      <c r="D259" s="3"/>
      <c r="E259" s="3"/>
      <c r="F259" s="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2"/>
      <c r="C260" s="3"/>
      <c r="D260" s="3"/>
      <c r="E260" s="3"/>
      <c r="F260" s="3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2"/>
      <c r="C261" s="3"/>
      <c r="D261" s="3"/>
      <c r="E261" s="3"/>
      <c r="F261" s="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2"/>
      <c r="C262" s="3"/>
      <c r="D262" s="3"/>
      <c r="E262" s="3"/>
      <c r="F262" s="3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2"/>
      <c r="C263" s="3"/>
      <c r="D263" s="3"/>
      <c r="E263" s="3"/>
      <c r="F263" s="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2"/>
      <c r="C264" s="3"/>
      <c r="D264" s="3"/>
      <c r="E264" s="3"/>
      <c r="F264" s="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2"/>
      <c r="C265" s="3"/>
      <c r="D265" s="3"/>
      <c r="E265" s="3"/>
      <c r="F265" s="3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2"/>
      <c r="C266" s="3"/>
      <c r="D266" s="3"/>
      <c r="E266" s="3"/>
      <c r="F266" s="3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2"/>
      <c r="C267" s="3"/>
      <c r="D267" s="3"/>
      <c r="E267" s="3"/>
      <c r="F267" s="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2"/>
      <c r="C268" s="3"/>
      <c r="D268" s="3"/>
      <c r="E268" s="3"/>
      <c r="F268" s="3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2"/>
      <c r="C269" s="3"/>
      <c r="D269" s="3"/>
      <c r="E269" s="3"/>
      <c r="F269" s="3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2"/>
      <c r="C270" s="3"/>
      <c r="D270" s="3"/>
      <c r="E270" s="3"/>
      <c r="F270" s="3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2"/>
      <c r="C271" s="3"/>
      <c r="D271" s="3"/>
      <c r="E271" s="3"/>
      <c r="F271" s="3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2"/>
      <c r="C272" s="3"/>
      <c r="D272" s="3"/>
      <c r="E272" s="3"/>
      <c r="F272" s="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2"/>
      <c r="C273" s="3"/>
      <c r="D273" s="3"/>
      <c r="E273" s="3"/>
      <c r="F273" s="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2"/>
      <c r="C274" s="3"/>
      <c r="D274" s="3"/>
      <c r="E274" s="3"/>
      <c r="F274" s="3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2"/>
      <c r="C275" s="3"/>
      <c r="D275" s="3"/>
      <c r="E275" s="3"/>
      <c r="F275" s="3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2"/>
      <c r="C276" s="3"/>
      <c r="D276" s="3"/>
      <c r="E276" s="3"/>
      <c r="F276" s="3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2"/>
      <c r="C277" s="3"/>
      <c r="D277" s="3"/>
      <c r="E277" s="3"/>
      <c r="F277" s="3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2"/>
      <c r="C278" s="3"/>
      <c r="D278" s="3"/>
      <c r="E278" s="3"/>
      <c r="F278" s="3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2"/>
      <c r="C279" s="3"/>
      <c r="D279" s="3"/>
      <c r="E279" s="3"/>
      <c r="F279" s="3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2"/>
      <c r="C280" s="3"/>
      <c r="D280" s="3"/>
      <c r="E280" s="3"/>
      <c r="F280" s="3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2"/>
      <c r="C281" s="3"/>
      <c r="D281" s="3"/>
      <c r="E281" s="3"/>
      <c r="F281" s="3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2"/>
      <c r="C282" s="3"/>
      <c r="D282" s="3"/>
      <c r="E282" s="3"/>
      <c r="F282" s="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2"/>
      <c r="C283" s="3"/>
      <c r="D283" s="3"/>
      <c r="E283" s="3"/>
      <c r="F283" s="3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2"/>
      <c r="C284" s="3"/>
      <c r="D284" s="3"/>
      <c r="E284" s="3"/>
      <c r="F284" s="3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2"/>
      <c r="C285" s="3"/>
      <c r="D285" s="3"/>
      <c r="E285" s="3"/>
      <c r="F285" s="3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2"/>
      <c r="C286" s="3"/>
      <c r="D286" s="3"/>
      <c r="E286" s="3"/>
      <c r="F286" s="3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2"/>
      <c r="C287" s="3"/>
      <c r="D287" s="3"/>
      <c r="E287" s="3"/>
      <c r="F287" s="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2"/>
      <c r="C288" s="3"/>
      <c r="D288" s="3"/>
      <c r="E288" s="3"/>
      <c r="F288" s="3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2"/>
      <c r="C289" s="3"/>
      <c r="D289" s="3"/>
      <c r="E289" s="3"/>
      <c r="F289" s="3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2"/>
      <c r="C290" s="3"/>
      <c r="D290" s="3"/>
      <c r="E290" s="3"/>
      <c r="F290" s="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2"/>
      <c r="C291" s="3"/>
      <c r="D291" s="3"/>
      <c r="E291" s="3"/>
      <c r="F291" s="3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2"/>
      <c r="C292" s="3"/>
      <c r="D292" s="3"/>
      <c r="E292" s="3"/>
      <c r="F292" s="3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2"/>
      <c r="C293" s="3"/>
      <c r="D293" s="3"/>
      <c r="E293" s="3"/>
      <c r="F293" s="3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2"/>
      <c r="C294" s="3"/>
      <c r="D294" s="3"/>
      <c r="E294" s="3"/>
      <c r="F294" s="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2"/>
      <c r="C295" s="3"/>
      <c r="D295" s="3"/>
      <c r="E295" s="3"/>
      <c r="F295" s="3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2"/>
      <c r="C296" s="3"/>
      <c r="D296" s="3"/>
      <c r="E296" s="3"/>
      <c r="F296" s="3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2"/>
      <c r="C297" s="3"/>
      <c r="D297" s="3"/>
      <c r="E297" s="3"/>
      <c r="F297" s="3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2"/>
      <c r="C298" s="3"/>
      <c r="D298" s="3"/>
      <c r="E298" s="3"/>
      <c r="F298" s="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2"/>
      <c r="C299" s="3"/>
      <c r="D299" s="3"/>
      <c r="E299" s="3"/>
      <c r="F299" s="3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2"/>
      <c r="C300" s="3"/>
      <c r="D300" s="3"/>
      <c r="E300" s="3"/>
      <c r="F300" s="3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2"/>
      <c r="C301" s="3"/>
      <c r="D301" s="3"/>
      <c r="E301" s="3"/>
      <c r="F301" s="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2"/>
      <c r="C302" s="3"/>
      <c r="D302" s="3"/>
      <c r="E302" s="3"/>
      <c r="F302" s="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2"/>
      <c r="C303" s="3"/>
      <c r="D303" s="3"/>
      <c r="E303" s="3"/>
      <c r="F303" s="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2"/>
      <c r="C304" s="3"/>
      <c r="D304" s="3"/>
      <c r="E304" s="3"/>
      <c r="F304" s="3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2"/>
      <c r="C305" s="3"/>
      <c r="D305" s="3"/>
      <c r="E305" s="3"/>
      <c r="F305" s="3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2"/>
      <c r="C306" s="3"/>
      <c r="D306" s="3"/>
      <c r="E306" s="3"/>
      <c r="F306" s="3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2"/>
      <c r="C307" s="3"/>
      <c r="D307" s="3"/>
      <c r="E307" s="3"/>
      <c r="F307" s="3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2"/>
      <c r="C308" s="3"/>
      <c r="D308" s="3"/>
      <c r="E308" s="3"/>
      <c r="F308" s="3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2"/>
      <c r="C309" s="3"/>
      <c r="D309" s="3"/>
      <c r="E309" s="3"/>
      <c r="F309" s="3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2"/>
      <c r="C310" s="3"/>
      <c r="D310" s="3"/>
      <c r="E310" s="3"/>
      <c r="F310" s="3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2"/>
      <c r="C311" s="3"/>
      <c r="D311" s="3"/>
      <c r="E311" s="3"/>
      <c r="F311" s="3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2"/>
      <c r="C312" s="3"/>
      <c r="D312" s="3"/>
      <c r="E312" s="3"/>
      <c r="F312" s="3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2"/>
      <c r="C313" s="3"/>
      <c r="D313" s="3"/>
      <c r="E313" s="3"/>
      <c r="F313" s="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2"/>
      <c r="C314" s="3"/>
      <c r="D314" s="3"/>
      <c r="E314" s="3"/>
      <c r="F314" s="3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2"/>
      <c r="C315" s="3"/>
      <c r="D315" s="3"/>
      <c r="E315" s="3"/>
      <c r="F315" s="3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2"/>
      <c r="C316" s="3"/>
      <c r="D316" s="3"/>
      <c r="E316" s="3"/>
      <c r="F316" s="3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2"/>
      <c r="C317" s="3"/>
      <c r="D317" s="3"/>
      <c r="E317" s="3"/>
      <c r="F317" s="3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2"/>
      <c r="C318" s="3"/>
      <c r="D318" s="3"/>
      <c r="E318" s="3"/>
      <c r="F318" s="3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2"/>
      <c r="C319" s="3"/>
      <c r="D319" s="3"/>
      <c r="E319" s="3"/>
      <c r="F319" s="3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2"/>
      <c r="C320" s="3"/>
      <c r="D320" s="3"/>
      <c r="E320" s="3"/>
      <c r="F320" s="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2"/>
      <c r="C321" s="3"/>
      <c r="D321" s="3"/>
      <c r="E321" s="3"/>
      <c r="F321" s="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2"/>
      <c r="C322" s="3"/>
      <c r="D322" s="3"/>
      <c r="E322" s="3"/>
      <c r="F322" s="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2"/>
      <c r="C323" s="3"/>
      <c r="D323" s="3"/>
      <c r="E323" s="3"/>
      <c r="F323" s="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2"/>
      <c r="C324" s="3"/>
      <c r="D324" s="3"/>
      <c r="E324" s="3"/>
      <c r="F324" s="3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2"/>
      <c r="C325" s="3"/>
      <c r="D325" s="3"/>
      <c r="E325" s="3"/>
      <c r="F325" s="3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2"/>
      <c r="C326" s="3"/>
      <c r="D326" s="3"/>
      <c r="E326" s="3"/>
      <c r="F326" s="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2"/>
      <c r="C327" s="3"/>
      <c r="D327" s="3"/>
      <c r="E327" s="3"/>
      <c r="F327" s="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2"/>
      <c r="C328" s="3"/>
      <c r="D328" s="3"/>
      <c r="E328" s="3"/>
      <c r="F328" s="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2"/>
      <c r="C329" s="3"/>
      <c r="D329" s="3"/>
      <c r="E329" s="3"/>
      <c r="F329" s="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2"/>
      <c r="C330" s="3"/>
      <c r="D330" s="3"/>
      <c r="E330" s="3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2"/>
      <c r="C331" s="3"/>
      <c r="D331" s="3"/>
      <c r="E331" s="3"/>
      <c r="F331" s="3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2"/>
      <c r="C332" s="3"/>
      <c r="D332" s="3"/>
      <c r="E332" s="3"/>
      <c r="F332" s="3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2"/>
      <c r="C333" s="3"/>
      <c r="D333" s="3"/>
      <c r="E333" s="3"/>
      <c r="F333" s="3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2"/>
      <c r="C334" s="3"/>
      <c r="D334" s="3"/>
      <c r="E334" s="3"/>
      <c r="F334" s="3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2"/>
      <c r="C335" s="3"/>
      <c r="D335" s="3"/>
      <c r="E335" s="3"/>
      <c r="F335" s="3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2"/>
      <c r="C336" s="3"/>
      <c r="D336" s="3"/>
      <c r="E336" s="3"/>
      <c r="F336" s="3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2"/>
      <c r="C337" s="3"/>
      <c r="D337" s="3"/>
      <c r="E337" s="3"/>
      <c r="F337" s="3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2"/>
      <c r="C338" s="3"/>
      <c r="D338" s="3"/>
      <c r="E338" s="3"/>
      <c r="F338" s="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2"/>
      <c r="C339" s="3"/>
      <c r="D339" s="3"/>
      <c r="E339" s="3"/>
      <c r="F339" s="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2"/>
      <c r="C340" s="3"/>
      <c r="D340" s="3"/>
      <c r="E340" s="3"/>
      <c r="F340" s="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2"/>
      <c r="C341" s="3"/>
      <c r="D341" s="3"/>
      <c r="E341" s="3"/>
      <c r="F341" s="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2"/>
      <c r="C342" s="3"/>
      <c r="D342" s="3"/>
      <c r="E342" s="3"/>
      <c r="F342" s="3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2"/>
      <c r="C343" s="3"/>
      <c r="D343" s="3"/>
      <c r="E343" s="3"/>
      <c r="F343" s="3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2"/>
      <c r="C344" s="3"/>
      <c r="D344" s="3"/>
      <c r="E344" s="3"/>
      <c r="F344" s="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2"/>
      <c r="C345" s="3"/>
      <c r="D345" s="3"/>
      <c r="E345" s="3"/>
      <c r="F345" s="3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2"/>
      <c r="C346" s="3"/>
      <c r="D346" s="3"/>
      <c r="E346" s="3"/>
      <c r="F346" s="3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2"/>
      <c r="C347" s="3"/>
      <c r="D347" s="3"/>
      <c r="E347" s="3"/>
      <c r="F347" s="3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2"/>
      <c r="C348" s="3"/>
      <c r="D348" s="3"/>
      <c r="E348" s="3"/>
      <c r="F348" s="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2"/>
      <c r="C349" s="3"/>
      <c r="D349" s="3"/>
      <c r="E349" s="3"/>
      <c r="F349" s="3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2"/>
      <c r="C350" s="3"/>
      <c r="D350" s="3"/>
      <c r="E350" s="3"/>
      <c r="F350" s="3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2"/>
      <c r="C351" s="3"/>
      <c r="D351" s="3"/>
      <c r="E351" s="3"/>
      <c r="F351" s="3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2"/>
      <c r="C352" s="3"/>
      <c r="D352" s="3"/>
      <c r="E352" s="3"/>
      <c r="F352" s="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2"/>
      <c r="C353" s="3"/>
      <c r="D353" s="3"/>
      <c r="E353" s="3"/>
      <c r="F353" s="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2"/>
      <c r="C354" s="3"/>
      <c r="D354" s="3"/>
      <c r="E354" s="3"/>
      <c r="F354" s="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2"/>
      <c r="C355" s="3"/>
      <c r="D355" s="3"/>
      <c r="E355" s="3"/>
      <c r="F355" s="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2"/>
      <c r="C356" s="3"/>
      <c r="D356" s="3"/>
      <c r="E356" s="3"/>
      <c r="F356" s="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2"/>
      <c r="C357" s="3"/>
      <c r="D357" s="3"/>
      <c r="E357" s="3"/>
      <c r="F357" s="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2"/>
      <c r="C358" s="3"/>
      <c r="D358" s="3"/>
      <c r="E358" s="3"/>
      <c r="F358" s="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2"/>
      <c r="C359" s="3"/>
      <c r="D359" s="3"/>
      <c r="E359" s="3"/>
      <c r="F359" s="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2"/>
      <c r="C360" s="3"/>
      <c r="D360" s="3"/>
      <c r="E360" s="3"/>
      <c r="F360" s="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2"/>
      <c r="C361" s="3"/>
      <c r="D361" s="3"/>
      <c r="E361" s="3"/>
      <c r="F361" s="3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2"/>
      <c r="C362" s="3"/>
      <c r="D362" s="3"/>
      <c r="E362" s="3"/>
      <c r="F362" s="3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2"/>
      <c r="C363" s="3"/>
      <c r="D363" s="3"/>
      <c r="E363" s="3"/>
      <c r="F363" s="3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2"/>
      <c r="C364" s="3"/>
      <c r="D364" s="3"/>
      <c r="E364" s="3"/>
      <c r="F364" s="3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2"/>
      <c r="C365" s="3"/>
      <c r="D365" s="3"/>
      <c r="E365" s="3"/>
      <c r="F365" s="3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2"/>
      <c r="C366" s="3"/>
      <c r="D366" s="3"/>
      <c r="E366" s="3"/>
      <c r="F366" s="3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2"/>
      <c r="C367" s="3"/>
      <c r="D367" s="3"/>
      <c r="E367" s="3"/>
      <c r="F367" s="3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2"/>
      <c r="C368" s="3"/>
      <c r="D368" s="3"/>
      <c r="E368" s="3"/>
      <c r="F368" s="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2"/>
      <c r="C369" s="3"/>
      <c r="D369" s="3"/>
      <c r="E369" s="3"/>
      <c r="F369" s="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2"/>
      <c r="C370" s="3"/>
      <c r="D370" s="3"/>
      <c r="E370" s="3"/>
      <c r="F370" s="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2"/>
      <c r="C371" s="3"/>
      <c r="D371" s="3"/>
      <c r="E371" s="3"/>
      <c r="F371" s="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2"/>
      <c r="C372" s="3"/>
      <c r="D372" s="3"/>
      <c r="E372" s="3"/>
      <c r="F372" s="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2"/>
      <c r="C373" s="3"/>
      <c r="D373" s="3"/>
      <c r="E373" s="3"/>
      <c r="F373" s="3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2"/>
      <c r="C374" s="3"/>
      <c r="D374" s="3"/>
      <c r="E374" s="3"/>
      <c r="F374" s="3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2"/>
      <c r="C375" s="3"/>
      <c r="D375" s="3"/>
      <c r="E375" s="3"/>
      <c r="F375" s="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2"/>
      <c r="C376" s="3"/>
      <c r="D376" s="3"/>
      <c r="E376" s="3"/>
      <c r="F376" s="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2"/>
      <c r="C377" s="3"/>
      <c r="D377" s="3"/>
      <c r="E377" s="3"/>
      <c r="F377" s="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2"/>
      <c r="C378" s="3"/>
      <c r="D378" s="3"/>
      <c r="E378" s="3"/>
      <c r="F378" s="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2"/>
      <c r="C379" s="3"/>
      <c r="D379" s="3"/>
      <c r="E379" s="3"/>
      <c r="F379" s="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2"/>
      <c r="C380" s="3"/>
      <c r="D380" s="3"/>
      <c r="E380" s="3"/>
      <c r="F380" s="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2"/>
      <c r="C381" s="3"/>
      <c r="D381" s="3"/>
      <c r="E381" s="3"/>
      <c r="F381" s="3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2"/>
      <c r="C382" s="3"/>
      <c r="D382" s="3"/>
      <c r="E382" s="3"/>
      <c r="F382" s="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2"/>
      <c r="C383" s="3"/>
      <c r="D383" s="3"/>
      <c r="E383" s="3"/>
      <c r="F383" s="3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2"/>
      <c r="C384" s="3"/>
      <c r="D384" s="3"/>
      <c r="E384" s="3"/>
      <c r="F384" s="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2"/>
      <c r="C385" s="3"/>
      <c r="D385" s="3"/>
      <c r="E385" s="3"/>
      <c r="F385" s="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2"/>
      <c r="C386" s="3"/>
      <c r="D386" s="3"/>
      <c r="E386" s="3"/>
      <c r="F386" s="3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2"/>
      <c r="C387" s="3"/>
      <c r="D387" s="3"/>
      <c r="E387" s="3"/>
      <c r="F387" s="3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2"/>
      <c r="C388" s="3"/>
      <c r="D388" s="3"/>
      <c r="E388" s="3"/>
      <c r="F388" s="3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2"/>
      <c r="C389" s="3"/>
      <c r="D389" s="3"/>
      <c r="E389" s="3"/>
      <c r="F389" s="3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2"/>
      <c r="C390" s="3"/>
      <c r="D390" s="3"/>
      <c r="E390" s="3"/>
      <c r="F390" s="3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2"/>
      <c r="C391" s="3"/>
      <c r="D391" s="3"/>
      <c r="E391" s="3"/>
      <c r="F391" s="3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2"/>
      <c r="C392" s="3"/>
      <c r="D392" s="3"/>
      <c r="E392" s="3"/>
      <c r="F392" s="3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2"/>
      <c r="C393" s="3"/>
      <c r="D393" s="3"/>
      <c r="E393" s="3"/>
      <c r="F393" s="3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2"/>
      <c r="C394" s="3"/>
      <c r="D394" s="3"/>
      <c r="E394" s="3"/>
      <c r="F394" s="3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2"/>
      <c r="C395" s="3"/>
      <c r="D395" s="3"/>
      <c r="E395" s="3"/>
      <c r="F395" s="3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2"/>
      <c r="C396" s="3"/>
      <c r="D396" s="3"/>
      <c r="E396" s="3"/>
      <c r="F396" s="3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2"/>
      <c r="C397" s="3"/>
      <c r="D397" s="3"/>
      <c r="E397" s="3"/>
      <c r="F397" s="3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2"/>
      <c r="C398" s="3"/>
      <c r="D398" s="3"/>
      <c r="E398" s="3"/>
      <c r="F398" s="3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2"/>
      <c r="C399" s="3"/>
      <c r="D399" s="3"/>
      <c r="E399" s="3"/>
      <c r="F399" s="3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2"/>
      <c r="C400" s="3"/>
      <c r="D400" s="3"/>
      <c r="E400" s="3"/>
      <c r="F400" s="3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2"/>
      <c r="C401" s="3"/>
      <c r="D401" s="3"/>
      <c r="E401" s="3"/>
      <c r="F401" s="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2"/>
      <c r="C402" s="3"/>
      <c r="D402" s="3"/>
      <c r="E402" s="3"/>
      <c r="F402" s="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2"/>
      <c r="C403" s="3"/>
      <c r="D403" s="3"/>
      <c r="E403" s="3"/>
      <c r="F403" s="3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2"/>
      <c r="C404" s="3"/>
      <c r="D404" s="3"/>
      <c r="E404" s="3"/>
      <c r="F404" s="3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2"/>
      <c r="C405" s="3"/>
      <c r="D405" s="3"/>
      <c r="E405" s="3"/>
      <c r="F405" s="3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2"/>
      <c r="C406" s="3"/>
      <c r="D406" s="3"/>
      <c r="E406" s="3"/>
      <c r="F406" s="3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2"/>
      <c r="C407" s="3"/>
      <c r="D407" s="3"/>
      <c r="E407" s="3"/>
      <c r="F407" s="3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2"/>
      <c r="C408" s="3"/>
      <c r="D408" s="3"/>
      <c r="E408" s="3"/>
      <c r="F408" s="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2"/>
      <c r="C409" s="3"/>
      <c r="D409" s="3"/>
      <c r="E409" s="3"/>
      <c r="F409" s="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2"/>
      <c r="C410" s="3"/>
      <c r="D410" s="3"/>
      <c r="E410" s="3"/>
      <c r="F410" s="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2"/>
      <c r="C411" s="3"/>
      <c r="D411" s="3"/>
      <c r="E411" s="3"/>
      <c r="F411" s="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2"/>
      <c r="C412" s="3"/>
      <c r="D412" s="3"/>
      <c r="E412" s="3"/>
      <c r="F412" s="3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2"/>
      <c r="C413" s="3"/>
      <c r="D413" s="3"/>
      <c r="E413" s="3"/>
      <c r="F413" s="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2"/>
      <c r="C414" s="3"/>
      <c r="D414" s="3"/>
      <c r="E414" s="3"/>
      <c r="F414" s="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2"/>
      <c r="C415" s="3"/>
      <c r="D415" s="3"/>
      <c r="E415" s="3"/>
      <c r="F415" s="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2"/>
      <c r="C416" s="3"/>
      <c r="D416" s="3"/>
      <c r="E416" s="3"/>
      <c r="F416" s="3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2"/>
      <c r="C417" s="3"/>
      <c r="D417" s="3"/>
      <c r="E417" s="3"/>
      <c r="F417" s="3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2"/>
      <c r="C418" s="3"/>
      <c r="D418" s="3"/>
      <c r="E418" s="3"/>
      <c r="F418" s="3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2"/>
      <c r="C419" s="3"/>
      <c r="D419" s="3"/>
      <c r="E419" s="3"/>
      <c r="F419" s="3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2"/>
      <c r="C420" s="3"/>
      <c r="D420" s="3"/>
      <c r="E420" s="3"/>
      <c r="F420" s="3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2"/>
      <c r="C421" s="3"/>
      <c r="D421" s="3"/>
      <c r="E421" s="3"/>
      <c r="F421" s="3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2"/>
      <c r="C422" s="3"/>
      <c r="D422" s="3"/>
      <c r="E422" s="3"/>
      <c r="F422" s="3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2"/>
      <c r="C423" s="3"/>
      <c r="D423" s="3"/>
      <c r="E423" s="3"/>
      <c r="F423" s="3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2"/>
      <c r="C424" s="3"/>
      <c r="D424" s="3"/>
      <c r="E424" s="3"/>
      <c r="F424" s="3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2"/>
      <c r="C425" s="3"/>
      <c r="D425" s="3"/>
      <c r="E425" s="3"/>
      <c r="F425" s="3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2"/>
      <c r="C426" s="3"/>
      <c r="D426" s="3"/>
      <c r="E426" s="3"/>
      <c r="F426" s="3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2"/>
      <c r="C427" s="3"/>
      <c r="D427" s="3"/>
      <c r="E427" s="3"/>
      <c r="F427" s="3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2"/>
      <c r="C428" s="3"/>
      <c r="D428" s="3"/>
      <c r="E428" s="3"/>
      <c r="F428" s="3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2"/>
      <c r="C429" s="3"/>
      <c r="D429" s="3"/>
      <c r="E429" s="3"/>
      <c r="F429" s="3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2"/>
      <c r="C430" s="3"/>
      <c r="D430" s="3"/>
      <c r="E430" s="3"/>
      <c r="F430" s="3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2"/>
      <c r="C431" s="3"/>
      <c r="D431" s="3"/>
      <c r="E431" s="3"/>
      <c r="F431" s="3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2"/>
      <c r="C432" s="3"/>
      <c r="D432" s="3"/>
      <c r="E432" s="3"/>
      <c r="F432" s="3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2"/>
      <c r="C433" s="3"/>
      <c r="D433" s="3"/>
      <c r="E433" s="3"/>
      <c r="F433" s="3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2"/>
      <c r="C434" s="3"/>
      <c r="D434" s="3"/>
      <c r="E434" s="3"/>
      <c r="F434" s="3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2"/>
      <c r="C435" s="3"/>
      <c r="D435" s="3"/>
      <c r="E435" s="3"/>
      <c r="F435" s="3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2"/>
      <c r="C436" s="3"/>
      <c r="D436" s="3"/>
      <c r="E436" s="3"/>
      <c r="F436" s="3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2"/>
      <c r="C437" s="3"/>
      <c r="D437" s="3"/>
      <c r="E437" s="3"/>
      <c r="F437" s="3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2"/>
      <c r="C438" s="3"/>
      <c r="D438" s="3"/>
      <c r="E438" s="3"/>
      <c r="F438" s="3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2"/>
      <c r="C439" s="3"/>
      <c r="D439" s="3"/>
      <c r="E439" s="3"/>
      <c r="F439" s="3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2"/>
      <c r="C440" s="3"/>
      <c r="D440" s="3"/>
      <c r="E440" s="3"/>
      <c r="F440" s="3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2"/>
      <c r="C441" s="3"/>
      <c r="D441" s="3"/>
      <c r="E441" s="3"/>
      <c r="F441" s="3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2"/>
      <c r="C442" s="3"/>
      <c r="D442" s="3"/>
      <c r="E442" s="3"/>
      <c r="F442" s="3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2"/>
      <c r="C443" s="3"/>
      <c r="D443" s="3"/>
      <c r="E443" s="3"/>
      <c r="F443" s="3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2"/>
      <c r="C444" s="3"/>
      <c r="D444" s="3"/>
      <c r="E444" s="3"/>
      <c r="F444" s="3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2"/>
      <c r="C445" s="3"/>
      <c r="D445" s="3"/>
      <c r="E445" s="3"/>
      <c r="F445" s="3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2"/>
      <c r="C446" s="3"/>
      <c r="D446" s="3"/>
      <c r="E446" s="3"/>
      <c r="F446" s="3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2"/>
      <c r="C447" s="3"/>
      <c r="D447" s="3"/>
      <c r="E447" s="3"/>
      <c r="F447" s="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2"/>
      <c r="C448" s="3"/>
      <c r="D448" s="3"/>
      <c r="E448" s="3"/>
      <c r="F448" s="3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2"/>
      <c r="C449" s="3"/>
      <c r="D449" s="3"/>
      <c r="E449" s="3"/>
      <c r="F449" s="3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2"/>
      <c r="C450" s="3"/>
      <c r="D450" s="3"/>
      <c r="E450" s="3"/>
      <c r="F450" s="3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2"/>
      <c r="C451" s="3"/>
      <c r="D451" s="3"/>
      <c r="E451" s="3"/>
      <c r="F451" s="3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2"/>
      <c r="C452" s="3"/>
      <c r="D452" s="3"/>
      <c r="E452" s="3"/>
      <c r="F452" s="3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2"/>
      <c r="C453" s="3"/>
      <c r="D453" s="3"/>
      <c r="E453" s="3"/>
      <c r="F453" s="3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2"/>
      <c r="C454" s="3"/>
      <c r="D454" s="3"/>
      <c r="E454" s="3"/>
      <c r="F454" s="3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2"/>
      <c r="C455" s="3"/>
      <c r="D455" s="3"/>
      <c r="E455" s="3"/>
      <c r="F455" s="3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2"/>
      <c r="C456" s="3"/>
      <c r="D456" s="3"/>
      <c r="E456" s="3"/>
      <c r="F456" s="3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2"/>
      <c r="C457" s="3"/>
      <c r="D457" s="3"/>
      <c r="E457" s="3"/>
      <c r="F457" s="3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2"/>
      <c r="C458" s="3"/>
      <c r="D458" s="3"/>
      <c r="E458" s="3"/>
      <c r="F458" s="3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2"/>
      <c r="C459" s="3"/>
      <c r="D459" s="3"/>
      <c r="E459" s="3"/>
      <c r="F459" s="3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2"/>
      <c r="C460" s="3"/>
      <c r="D460" s="3"/>
      <c r="E460" s="3"/>
      <c r="F460" s="3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2"/>
      <c r="C461" s="3"/>
      <c r="D461" s="3"/>
      <c r="E461" s="3"/>
      <c r="F461" s="3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2"/>
      <c r="C462" s="3"/>
      <c r="D462" s="3"/>
      <c r="E462" s="3"/>
      <c r="F462" s="3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2"/>
      <c r="C463" s="3"/>
      <c r="D463" s="3"/>
      <c r="E463" s="3"/>
      <c r="F463" s="3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2"/>
      <c r="C464" s="3"/>
      <c r="D464" s="3"/>
      <c r="E464" s="3"/>
      <c r="F464" s="3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2"/>
      <c r="C465" s="3"/>
      <c r="D465" s="3"/>
      <c r="E465" s="3"/>
      <c r="F465" s="3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2"/>
      <c r="C466" s="3"/>
      <c r="D466" s="3"/>
      <c r="E466" s="3"/>
      <c r="F466" s="3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2"/>
      <c r="C467" s="3"/>
      <c r="D467" s="3"/>
      <c r="E467" s="3"/>
      <c r="F467" s="3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2"/>
      <c r="C468" s="3"/>
      <c r="D468" s="3"/>
      <c r="E468" s="3"/>
      <c r="F468" s="3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2"/>
      <c r="C469" s="3"/>
      <c r="D469" s="3"/>
      <c r="E469" s="3"/>
      <c r="F469" s="3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2"/>
      <c r="C470" s="3"/>
      <c r="D470" s="3"/>
      <c r="E470" s="3"/>
      <c r="F470" s="3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2"/>
      <c r="C471" s="3"/>
      <c r="D471" s="3"/>
      <c r="E471" s="3"/>
      <c r="F471" s="3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2"/>
      <c r="C472" s="3"/>
      <c r="D472" s="3"/>
      <c r="E472" s="3"/>
      <c r="F472" s="3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2"/>
      <c r="C473" s="3"/>
      <c r="D473" s="3"/>
      <c r="E473" s="3"/>
      <c r="F473" s="3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2"/>
      <c r="C474" s="3"/>
      <c r="D474" s="3"/>
      <c r="E474" s="3"/>
      <c r="F474" s="3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2"/>
      <c r="C475" s="3"/>
      <c r="D475" s="3"/>
      <c r="E475" s="3"/>
      <c r="F475" s="3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2"/>
      <c r="C476" s="3"/>
      <c r="D476" s="3"/>
      <c r="E476" s="3"/>
      <c r="F476" s="3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2"/>
      <c r="C477" s="3"/>
      <c r="D477" s="3"/>
      <c r="E477" s="3"/>
      <c r="F477" s="3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2"/>
      <c r="C478" s="3"/>
      <c r="D478" s="3"/>
      <c r="E478" s="3"/>
      <c r="F478" s="3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2"/>
      <c r="C479" s="3"/>
      <c r="D479" s="3"/>
      <c r="E479" s="3"/>
      <c r="F479" s="3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2"/>
      <c r="C480" s="3"/>
      <c r="D480" s="3"/>
      <c r="E480" s="3"/>
      <c r="F480" s="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2"/>
      <c r="C481" s="3"/>
      <c r="D481" s="3"/>
      <c r="E481" s="3"/>
      <c r="F481" s="3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2"/>
      <c r="C482" s="3"/>
      <c r="D482" s="3"/>
      <c r="E482" s="3"/>
      <c r="F482" s="3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2"/>
      <c r="C483" s="3"/>
      <c r="D483" s="3"/>
      <c r="E483" s="3"/>
      <c r="F483" s="3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2"/>
      <c r="C484" s="3"/>
      <c r="D484" s="3"/>
      <c r="E484" s="3"/>
      <c r="F484" s="3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2"/>
      <c r="C485" s="3"/>
      <c r="D485" s="3"/>
      <c r="E485" s="3"/>
      <c r="F485" s="3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2"/>
      <c r="C486" s="3"/>
      <c r="D486" s="3"/>
      <c r="E486" s="3"/>
      <c r="F486" s="3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2"/>
      <c r="C487" s="3"/>
      <c r="D487" s="3"/>
      <c r="E487" s="3"/>
      <c r="F487" s="3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2"/>
      <c r="C488" s="3"/>
      <c r="D488" s="3"/>
      <c r="E488" s="3"/>
      <c r="F488" s="3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2"/>
      <c r="C489" s="3"/>
      <c r="D489" s="3"/>
      <c r="E489" s="3"/>
      <c r="F489" s="3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2"/>
      <c r="C490" s="3"/>
      <c r="D490" s="3"/>
      <c r="E490" s="3"/>
      <c r="F490" s="3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2"/>
      <c r="C491" s="3"/>
      <c r="D491" s="3"/>
      <c r="E491" s="3"/>
      <c r="F491" s="3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2"/>
      <c r="C492" s="3"/>
      <c r="D492" s="3"/>
      <c r="E492" s="3"/>
      <c r="F492" s="3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2"/>
      <c r="C493" s="3"/>
      <c r="D493" s="3"/>
      <c r="E493" s="3"/>
      <c r="F493" s="3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2"/>
      <c r="C494" s="3"/>
      <c r="D494" s="3"/>
      <c r="E494" s="3"/>
      <c r="F494" s="3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2"/>
      <c r="C495" s="3"/>
      <c r="D495" s="3"/>
      <c r="E495" s="3"/>
      <c r="F495" s="3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2"/>
      <c r="C496" s="3"/>
      <c r="D496" s="3"/>
      <c r="E496" s="3"/>
      <c r="F496" s="3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2"/>
      <c r="C497" s="3"/>
      <c r="D497" s="3"/>
      <c r="E497" s="3"/>
      <c r="F497" s="3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2"/>
      <c r="C498" s="3"/>
      <c r="D498" s="3"/>
      <c r="E498" s="3"/>
      <c r="F498" s="3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2"/>
      <c r="C499" s="3"/>
      <c r="D499" s="3"/>
      <c r="E499" s="3"/>
      <c r="F499" s="3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2"/>
      <c r="C500" s="3"/>
      <c r="D500" s="3"/>
      <c r="E500" s="3"/>
      <c r="F500" s="3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2"/>
      <c r="C501" s="3"/>
      <c r="D501" s="3"/>
      <c r="E501" s="3"/>
      <c r="F501" s="3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2"/>
      <c r="C502" s="3"/>
      <c r="D502" s="3"/>
      <c r="E502" s="3"/>
      <c r="F502" s="3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2"/>
      <c r="C503" s="3"/>
      <c r="D503" s="3"/>
      <c r="E503" s="3"/>
      <c r="F503" s="3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2"/>
      <c r="C504" s="3"/>
      <c r="D504" s="3"/>
      <c r="E504" s="3"/>
      <c r="F504" s="3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2"/>
      <c r="C505" s="3"/>
      <c r="D505" s="3"/>
      <c r="E505" s="3"/>
      <c r="F505" s="3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2"/>
      <c r="C506" s="3"/>
      <c r="D506" s="3"/>
      <c r="E506" s="3"/>
      <c r="F506" s="3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2"/>
      <c r="C507" s="3"/>
      <c r="D507" s="3"/>
      <c r="E507" s="3"/>
      <c r="F507" s="3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2"/>
      <c r="C508" s="3"/>
      <c r="D508" s="3"/>
      <c r="E508" s="3"/>
      <c r="F508" s="3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2"/>
      <c r="C509" s="3"/>
      <c r="D509" s="3"/>
      <c r="E509" s="3"/>
      <c r="F509" s="3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2"/>
      <c r="C510" s="3"/>
      <c r="D510" s="3"/>
      <c r="E510" s="3"/>
      <c r="F510" s="3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2"/>
      <c r="C511" s="3"/>
      <c r="D511" s="3"/>
      <c r="E511" s="3"/>
      <c r="F511" s="3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2"/>
      <c r="C512" s="3"/>
      <c r="D512" s="3"/>
      <c r="E512" s="3"/>
      <c r="F512" s="3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2"/>
      <c r="C513" s="3"/>
      <c r="D513" s="3"/>
      <c r="E513" s="3"/>
      <c r="F513" s="3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2"/>
      <c r="C514" s="3"/>
      <c r="D514" s="3"/>
      <c r="E514" s="3"/>
      <c r="F514" s="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2"/>
      <c r="C515" s="3"/>
      <c r="D515" s="3"/>
      <c r="E515" s="3"/>
      <c r="F515" s="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2"/>
      <c r="C516" s="3"/>
      <c r="D516" s="3"/>
      <c r="E516" s="3"/>
      <c r="F516" s="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2"/>
      <c r="C517" s="3"/>
      <c r="D517" s="3"/>
      <c r="E517" s="3"/>
      <c r="F517" s="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2"/>
      <c r="C518" s="3"/>
      <c r="D518" s="3"/>
      <c r="E518" s="3"/>
      <c r="F518" s="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2"/>
      <c r="C519" s="3"/>
      <c r="D519" s="3"/>
      <c r="E519" s="3"/>
      <c r="F519" s="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2"/>
      <c r="C520" s="3"/>
      <c r="D520" s="3"/>
      <c r="E520" s="3"/>
      <c r="F520" s="3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2"/>
      <c r="C521" s="3"/>
      <c r="D521" s="3"/>
      <c r="E521" s="3"/>
      <c r="F521" s="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2"/>
      <c r="C522" s="3"/>
      <c r="D522" s="3"/>
      <c r="E522" s="3"/>
      <c r="F522" s="3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2"/>
      <c r="C523" s="3"/>
      <c r="D523" s="3"/>
      <c r="E523" s="3"/>
      <c r="F523" s="3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2"/>
      <c r="C524" s="3"/>
      <c r="D524" s="3"/>
      <c r="E524" s="3"/>
      <c r="F524" s="3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2"/>
      <c r="C525" s="3"/>
      <c r="D525" s="3"/>
      <c r="E525" s="3"/>
      <c r="F525" s="3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2"/>
      <c r="C526" s="3"/>
      <c r="D526" s="3"/>
      <c r="E526" s="3"/>
      <c r="F526" s="3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2"/>
      <c r="C527" s="3"/>
      <c r="D527" s="3"/>
      <c r="E527" s="3"/>
      <c r="F527" s="3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2"/>
      <c r="C528" s="3"/>
      <c r="D528" s="3"/>
      <c r="E528" s="3"/>
      <c r="F528" s="3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2"/>
      <c r="C529" s="3"/>
      <c r="D529" s="3"/>
      <c r="E529" s="3"/>
      <c r="F529" s="3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2"/>
      <c r="C530" s="3"/>
      <c r="D530" s="3"/>
      <c r="E530" s="3"/>
      <c r="F530" s="3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2"/>
      <c r="C531" s="3"/>
      <c r="D531" s="3"/>
      <c r="E531" s="3"/>
      <c r="F531" s="3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2"/>
      <c r="C532" s="3"/>
      <c r="D532" s="3"/>
      <c r="E532" s="3"/>
      <c r="F532" s="3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2"/>
      <c r="C533" s="3"/>
      <c r="D533" s="3"/>
      <c r="E533" s="3"/>
      <c r="F533" s="3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2"/>
      <c r="C534" s="3"/>
      <c r="D534" s="3"/>
      <c r="E534" s="3"/>
      <c r="F534" s="3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2"/>
      <c r="C535" s="3"/>
      <c r="D535" s="3"/>
      <c r="E535" s="3"/>
      <c r="F535" s="3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2"/>
      <c r="C536" s="3"/>
      <c r="D536" s="3"/>
      <c r="E536" s="3"/>
      <c r="F536" s="3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2"/>
      <c r="C537" s="3"/>
      <c r="D537" s="3"/>
      <c r="E537" s="3"/>
      <c r="F537" s="3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2"/>
      <c r="C538" s="3"/>
      <c r="D538" s="3"/>
      <c r="E538" s="3"/>
      <c r="F538" s="3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2"/>
      <c r="C539" s="3"/>
      <c r="D539" s="3"/>
      <c r="E539" s="3"/>
      <c r="F539" s="3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2"/>
      <c r="C540" s="3"/>
      <c r="D540" s="3"/>
      <c r="E540" s="3"/>
      <c r="F540" s="3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2"/>
      <c r="C541" s="3"/>
      <c r="D541" s="3"/>
      <c r="E541" s="3"/>
      <c r="F541" s="3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2"/>
      <c r="C542" s="3"/>
      <c r="D542" s="3"/>
      <c r="E542" s="3"/>
      <c r="F542" s="3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2"/>
      <c r="C543" s="3"/>
      <c r="D543" s="3"/>
      <c r="E543" s="3"/>
      <c r="F543" s="3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2"/>
      <c r="C544" s="3"/>
      <c r="D544" s="3"/>
      <c r="E544" s="3"/>
      <c r="F544" s="3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2"/>
      <c r="C545" s="3"/>
      <c r="D545" s="3"/>
      <c r="E545" s="3"/>
      <c r="F545" s="3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2"/>
      <c r="C546" s="3"/>
      <c r="D546" s="3"/>
      <c r="E546" s="3"/>
      <c r="F546" s="3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2"/>
      <c r="C547" s="3"/>
      <c r="D547" s="3"/>
      <c r="E547" s="3"/>
      <c r="F547" s="3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2"/>
      <c r="C548" s="3"/>
      <c r="D548" s="3"/>
      <c r="E548" s="3"/>
      <c r="F548" s="3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2"/>
      <c r="C549" s="3"/>
      <c r="D549" s="3"/>
      <c r="E549" s="3"/>
      <c r="F549" s="3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2"/>
      <c r="C550" s="3"/>
      <c r="D550" s="3"/>
      <c r="E550" s="3"/>
      <c r="F550" s="3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2"/>
      <c r="C551" s="3"/>
      <c r="D551" s="3"/>
      <c r="E551" s="3"/>
      <c r="F551" s="3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2"/>
      <c r="C552" s="3"/>
      <c r="D552" s="3"/>
      <c r="E552" s="3"/>
      <c r="F552" s="3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2"/>
      <c r="C553" s="3"/>
      <c r="D553" s="3"/>
      <c r="E553" s="3"/>
      <c r="F553" s="3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2"/>
      <c r="C554" s="3"/>
      <c r="D554" s="3"/>
      <c r="E554" s="3"/>
      <c r="F554" s="3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2"/>
      <c r="C555" s="3"/>
      <c r="D555" s="3"/>
      <c r="E555" s="3"/>
      <c r="F555" s="3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2"/>
      <c r="C556" s="3"/>
      <c r="D556" s="3"/>
      <c r="E556" s="3"/>
      <c r="F556" s="3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2"/>
      <c r="C557" s="3"/>
      <c r="D557" s="3"/>
      <c r="E557" s="3"/>
      <c r="F557" s="3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2"/>
      <c r="C558" s="3"/>
      <c r="D558" s="3"/>
      <c r="E558" s="3"/>
      <c r="F558" s="3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2"/>
      <c r="C559" s="3"/>
      <c r="D559" s="3"/>
      <c r="E559" s="3"/>
      <c r="F559" s="3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2"/>
      <c r="C560" s="3"/>
      <c r="D560" s="3"/>
      <c r="E560" s="3"/>
      <c r="F560" s="3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2"/>
      <c r="C561" s="3"/>
      <c r="D561" s="3"/>
      <c r="E561" s="3"/>
      <c r="F561" s="3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2"/>
      <c r="C562" s="3"/>
      <c r="D562" s="3"/>
      <c r="E562" s="3"/>
      <c r="F562" s="3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2"/>
      <c r="C563" s="3"/>
      <c r="D563" s="3"/>
      <c r="E563" s="3"/>
      <c r="F563" s="3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2"/>
      <c r="C564" s="3"/>
      <c r="D564" s="3"/>
      <c r="E564" s="3"/>
      <c r="F564" s="3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2"/>
      <c r="C565" s="3"/>
      <c r="D565" s="3"/>
      <c r="E565" s="3"/>
      <c r="F565" s="3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2"/>
      <c r="C566" s="3"/>
      <c r="D566" s="3"/>
      <c r="E566" s="3"/>
      <c r="F566" s="3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2"/>
      <c r="C567" s="3"/>
      <c r="D567" s="3"/>
      <c r="E567" s="3"/>
      <c r="F567" s="3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2"/>
      <c r="C568" s="3"/>
      <c r="D568" s="3"/>
      <c r="E568" s="3"/>
      <c r="F568" s="3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2"/>
      <c r="C569" s="3"/>
      <c r="D569" s="3"/>
      <c r="E569" s="3"/>
      <c r="F569" s="3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2"/>
      <c r="C570" s="3"/>
      <c r="D570" s="3"/>
      <c r="E570" s="3"/>
      <c r="F570" s="3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2"/>
      <c r="C571" s="3"/>
      <c r="D571" s="3"/>
      <c r="E571" s="3"/>
      <c r="F571" s="3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2"/>
      <c r="C572" s="3"/>
      <c r="D572" s="3"/>
      <c r="E572" s="3"/>
      <c r="F572" s="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2"/>
      <c r="C573" s="3"/>
      <c r="D573" s="3"/>
      <c r="E573" s="3"/>
      <c r="F573" s="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2"/>
      <c r="C574" s="3"/>
      <c r="D574" s="3"/>
      <c r="E574" s="3"/>
      <c r="F574" s="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2"/>
      <c r="C575" s="3"/>
      <c r="D575" s="3"/>
      <c r="E575" s="3"/>
      <c r="F575" s="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2"/>
      <c r="C576" s="3"/>
      <c r="D576" s="3"/>
      <c r="E576" s="3"/>
      <c r="F576" s="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2"/>
      <c r="C577" s="3"/>
      <c r="D577" s="3"/>
      <c r="E577" s="3"/>
      <c r="F577" s="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2"/>
      <c r="C578" s="3"/>
      <c r="D578" s="3"/>
      <c r="E578" s="3"/>
      <c r="F578" s="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2"/>
      <c r="C579" s="3"/>
      <c r="D579" s="3"/>
      <c r="E579" s="3"/>
      <c r="F579" s="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2"/>
      <c r="C580" s="3"/>
      <c r="D580" s="3"/>
      <c r="E580" s="3"/>
      <c r="F580" s="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2"/>
      <c r="C581" s="3"/>
      <c r="D581" s="3"/>
      <c r="E581" s="3"/>
      <c r="F581" s="3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2"/>
      <c r="C582" s="3"/>
      <c r="D582" s="3"/>
      <c r="E582" s="3"/>
      <c r="F582" s="3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2"/>
      <c r="C583" s="3"/>
      <c r="D583" s="3"/>
      <c r="E583" s="3"/>
      <c r="F583" s="3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2"/>
      <c r="C584" s="3"/>
      <c r="D584" s="3"/>
      <c r="E584" s="3"/>
      <c r="F584" s="3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2"/>
      <c r="C585" s="3"/>
      <c r="D585" s="3"/>
      <c r="E585" s="3"/>
      <c r="F585" s="3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2"/>
      <c r="C586" s="3"/>
      <c r="D586" s="3"/>
      <c r="E586" s="3"/>
      <c r="F586" s="3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2"/>
      <c r="C587" s="3"/>
      <c r="D587" s="3"/>
      <c r="E587" s="3"/>
      <c r="F587" s="3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2"/>
      <c r="C588" s="3"/>
      <c r="D588" s="3"/>
      <c r="E588" s="3"/>
      <c r="F588" s="3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2"/>
      <c r="C589" s="3"/>
      <c r="D589" s="3"/>
      <c r="E589" s="3"/>
      <c r="F589" s="3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2"/>
      <c r="C590" s="3"/>
      <c r="D590" s="3"/>
      <c r="E590" s="3"/>
      <c r="F590" s="3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2"/>
      <c r="C591" s="3"/>
      <c r="D591" s="3"/>
      <c r="E591" s="3"/>
      <c r="F591" s="3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2"/>
      <c r="C592" s="3"/>
      <c r="D592" s="3"/>
      <c r="E592" s="3"/>
      <c r="F592" s="3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2"/>
      <c r="C593" s="3"/>
      <c r="D593" s="3"/>
      <c r="E593" s="3"/>
      <c r="F593" s="3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2"/>
      <c r="C594" s="3"/>
      <c r="D594" s="3"/>
      <c r="E594" s="3"/>
      <c r="F594" s="3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2"/>
      <c r="C595" s="3"/>
      <c r="D595" s="3"/>
      <c r="E595" s="3"/>
      <c r="F595" s="3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2"/>
      <c r="C596" s="3"/>
      <c r="D596" s="3"/>
      <c r="E596" s="3"/>
      <c r="F596" s="3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2"/>
      <c r="C597" s="3"/>
      <c r="D597" s="3"/>
      <c r="E597" s="3"/>
      <c r="F597" s="3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2"/>
      <c r="C598" s="3"/>
      <c r="D598" s="3"/>
      <c r="E598" s="3"/>
      <c r="F598" s="3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2"/>
      <c r="C599" s="3"/>
      <c r="D599" s="3"/>
      <c r="E599" s="3"/>
      <c r="F599" s="3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2"/>
      <c r="C600" s="3"/>
      <c r="D600" s="3"/>
      <c r="E600" s="3"/>
      <c r="F600" s="3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2"/>
      <c r="C601" s="3"/>
      <c r="D601" s="3"/>
      <c r="E601" s="3"/>
      <c r="F601" s="3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2"/>
      <c r="C602" s="3"/>
      <c r="D602" s="3"/>
      <c r="E602" s="3"/>
      <c r="F602" s="3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2"/>
      <c r="C603" s="3"/>
      <c r="D603" s="3"/>
      <c r="E603" s="3"/>
      <c r="F603" s="3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2"/>
      <c r="C604" s="3"/>
      <c r="D604" s="3"/>
      <c r="E604" s="3"/>
      <c r="F604" s="3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2"/>
      <c r="C605" s="3"/>
      <c r="D605" s="3"/>
      <c r="E605" s="3"/>
      <c r="F605" s="3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2"/>
      <c r="C606" s="3"/>
      <c r="D606" s="3"/>
      <c r="E606" s="3"/>
      <c r="F606" s="3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2"/>
      <c r="C607" s="3"/>
      <c r="D607" s="3"/>
      <c r="E607" s="3"/>
      <c r="F607" s="3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2"/>
      <c r="C608" s="3"/>
      <c r="D608" s="3"/>
      <c r="E608" s="3"/>
      <c r="F608" s="3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2"/>
      <c r="C609" s="3"/>
      <c r="D609" s="3"/>
      <c r="E609" s="3"/>
      <c r="F609" s="3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2"/>
      <c r="C610" s="3"/>
      <c r="D610" s="3"/>
      <c r="E610" s="3"/>
      <c r="F610" s="3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2"/>
      <c r="C611" s="3"/>
      <c r="D611" s="3"/>
      <c r="E611" s="3"/>
      <c r="F611" s="3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2"/>
      <c r="C612" s="3"/>
      <c r="D612" s="3"/>
      <c r="E612" s="3"/>
      <c r="F612" s="3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2"/>
      <c r="C613" s="3"/>
      <c r="D613" s="3"/>
      <c r="E613" s="3"/>
      <c r="F613" s="3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2"/>
      <c r="C614" s="3"/>
      <c r="D614" s="3"/>
      <c r="E614" s="3"/>
      <c r="F614" s="3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2"/>
      <c r="C615" s="3"/>
      <c r="D615" s="3"/>
      <c r="E615" s="3"/>
      <c r="F615" s="3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2"/>
      <c r="C616" s="3"/>
      <c r="D616" s="3"/>
      <c r="E616" s="3"/>
      <c r="F616" s="3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2"/>
      <c r="C617" s="3"/>
      <c r="D617" s="3"/>
      <c r="E617" s="3"/>
      <c r="F617" s="3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2"/>
      <c r="C618" s="3"/>
      <c r="D618" s="3"/>
      <c r="E618" s="3"/>
      <c r="F618" s="3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2"/>
      <c r="C619" s="3"/>
      <c r="D619" s="3"/>
      <c r="E619" s="3"/>
      <c r="F619" s="3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2"/>
      <c r="C620" s="3"/>
      <c r="D620" s="3"/>
      <c r="E620" s="3"/>
      <c r="F620" s="3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2"/>
      <c r="C621" s="3"/>
      <c r="D621" s="3"/>
      <c r="E621" s="3"/>
      <c r="F621" s="3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2"/>
      <c r="C622" s="3"/>
      <c r="D622" s="3"/>
      <c r="E622" s="3"/>
      <c r="F622" s="3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2"/>
      <c r="C623" s="3"/>
      <c r="D623" s="3"/>
      <c r="E623" s="3"/>
      <c r="F623" s="3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2"/>
      <c r="C624" s="3"/>
      <c r="D624" s="3"/>
      <c r="E624" s="3"/>
      <c r="F624" s="3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2"/>
      <c r="C625" s="3"/>
      <c r="D625" s="3"/>
      <c r="E625" s="3"/>
      <c r="F625" s="3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2"/>
      <c r="C626" s="3"/>
      <c r="D626" s="3"/>
      <c r="E626" s="3"/>
      <c r="F626" s="3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2"/>
      <c r="C627" s="3"/>
      <c r="D627" s="3"/>
      <c r="E627" s="3"/>
      <c r="F627" s="3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2"/>
      <c r="C628" s="3"/>
      <c r="D628" s="3"/>
      <c r="E628" s="3"/>
      <c r="F628" s="3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2"/>
      <c r="C629" s="3"/>
      <c r="D629" s="3"/>
      <c r="E629" s="3"/>
      <c r="F629" s="3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2"/>
      <c r="C630" s="3"/>
      <c r="D630" s="3"/>
      <c r="E630" s="3"/>
      <c r="F630" s="3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2"/>
      <c r="C631" s="3"/>
      <c r="D631" s="3"/>
      <c r="E631" s="3"/>
      <c r="F631" s="3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2"/>
      <c r="C632" s="3"/>
      <c r="D632" s="3"/>
      <c r="E632" s="3"/>
      <c r="F632" s="3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2"/>
      <c r="C633" s="3"/>
      <c r="D633" s="3"/>
      <c r="E633" s="3"/>
      <c r="F633" s="3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2"/>
      <c r="C634" s="3"/>
      <c r="D634" s="3"/>
      <c r="E634" s="3"/>
      <c r="F634" s="3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2"/>
      <c r="C635" s="3"/>
      <c r="D635" s="3"/>
      <c r="E635" s="3"/>
      <c r="F635" s="3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2"/>
      <c r="C636" s="3"/>
      <c r="D636" s="3"/>
      <c r="E636" s="3"/>
      <c r="F636" s="3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2"/>
      <c r="C637" s="3"/>
      <c r="D637" s="3"/>
      <c r="E637" s="3"/>
      <c r="F637" s="3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2"/>
      <c r="C638" s="3"/>
      <c r="D638" s="3"/>
      <c r="E638" s="3"/>
      <c r="F638" s="3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2"/>
      <c r="C639" s="3"/>
      <c r="D639" s="3"/>
      <c r="E639" s="3"/>
      <c r="F639" s="3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2"/>
      <c r="C640" s="3"/>
      <c r="D640" s="3"/>
      <c r="E640" s="3"/>
      <c r="F640" s="3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2"/>
      <c r="C641" s="3"/>
      <c r="D641" s="3"/>
      <c r="E641" s="3"/>
      <c r="F641" s="3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2"/>
      <c r="C642" s="3"/>
      <c r="D642" s="3"/>
      <c r="E642" s="3"/>
      <c r="F642" s="3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2"/>
      <c r="C643" s="3"/>
      <c r="D643" s="3"/>
      <c r="E643" s="3"/>
      <c r="F643" s="3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2"/>
      <c r="C644" s="3"/>
      <c r="D644" s="3"/>
      <c r="E644" s="3"/>
      <c r="F644" s="3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2"/>
      <c r="C645" s="3"/>
      <c r="D645" s="3"/>
      <c r="E645" s="3"/>
      <c r="F645" s="3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2"/>
      <c r="C646" s="3"/>
      <c r="D646" s="3"/>
      <c r="E646" s="3"/>
      <c r="F646" s="3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2"/>
      <c r="C647" s="3"/>
      <c r="D647" s="3"/>
      <c r="E647" s="3"/>
      <c r="F647" s="3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2"/>
      <c r="C648" s="3"/>
      <c r="D648" s="3"/>
      <c r="E648" s="3"/>
      <c r="F648" s="3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2"/>
      <c r="C649" s="3"/>
      <c r="D649" s="3"/>
      <c r="E649" s="3"/>
      <c r="F649" s="3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2"/>
      <c r="C650" s="3"/>
      <c r="D650" s="3"/>
      <c r="E650" s="3"/>
      <c r="F650" s="3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2"/>
      <c r="C651" s="3"/>
      <c r="D651" s="3"/>
      <c r="E651" s="3"/>
      <c r="F651" s="3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2"/>
      <c r="C652" s="3"/>
      <c r="D652" s="3"/>
      <c r="E652" s="3"/>
      <c r="F652" s="3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2"/>
      <c r="C653" s="3"/>
      <c r="D653" s="3"/>
      <c r="E653" s="3"/>
      <c r="F653" s="3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2"/>
      <c r="C654" s="3"/>
      <c r="D654" s="3"/>
      <c r="E654" s="3"/>
      <c r="F654" s="3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2"/>
      <c r="C655" s="3"/>
      <c r="D655" s="3"/>
      <c r="E655" s="3"/>
      <c r="F655" s="3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2"/>
      <c r="C656" s="3"/>
      <c r="D656" s="3"/>
      <c r="E656" s="3"/>
      <c r="F656" s="3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2"/>
      <c r="C657" s="3"/>
      <c r="D657" s="3"/>
      <c r="E657" s="3"/>
      <c r="F657" s="3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2"/>
      <c r="C658" s="3"/>
      <c r="D658" s="3"/>
      <c r="E658" s="3"/>
      <c r="F658" s="3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2"/>
      <c r="C659" s="3"/>
      <c r="D659" s="3"/>
      <c r="E659" s="3"/>
      <c r="F659" s="3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2"/>
      <c r="C660" s="3"/>
      <c r="D660" s="3"/>
      <c r="E660" s="3"/>
      <c r="F660" s="3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2"/>
      <c r="C661" s="3"/>
      <c r="D661" s="3"/>
      <c r="E661" s="3"/>
      <c r="F661" s="3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2"/>
      <c r="C662" s="3"/>
      <c r="D662" s="3"/>
      <c r="E662" s="3"/>
      <c r="F662" s="3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2"/>
      <c r="C663" s="3"/>
      <c r="D663" s="3"/>
      <c r="E663" s="3"/>
      <c r="F663" s="3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2"/>
      <c r="C664" s="3"/>
      <c r="D664" s="3"/>
      <c r="E664" s="3"/>
      <c r="F664" s="3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2"/>
      <c r="C665" s="3"/>
      <c r="D665" s="3"/>
      <c r="E665" s="3"/>
      <c r="F665" s="3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2"/>
      <c r="C666" s="3"/>
      <c r="D666" s="3"/>
      <c r="E666" s="3"/>
      <c r="F666" s="3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2"/>
      <c r="C667" s="3"/>
      <c r="D667" s="3"/>
      <c r="E667" s="3"/>
      <c r="F667" s="3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2"/>
      <c r="C668" s="3"/>
      <c r="D668" s="3"/>
      <c r="E668" s="3"/>
      <c r="F668" s="3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2"/>
      <c r="C669" s="3"/>
      <c r="D669" s="3"/>
      <c r="E669" s="3"/>
      <c r="F669" s="3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2"/>
      <c r="C670" s="3"/>
      <c r="D670" s="3"/>
      <c r="E670" s="3"/>
      <c r="F670" s="3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2"/>
      <c r="C671" s="3"/>
      <c r="D671" s="3"/>
      <c r="E671" s="3"/>
      <c r="F671" s="3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2"/>
      <c r="C672" s="3"/>
      <c r="D672" s="3"/>
      <c r="E672" s="3"/>
      <c r="F672" s="3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2"/>
      <c r="C673" s="3"/>
      <c r="D673" s="3"/>
      <c r="E673" s="3"/>
      <c r="F673" s="3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2"/>
      <c r="C674" s="3"/>
      <c r="D674" s="3"/>
      <c r="E674" s="3"/>
      <c r="F674" s="3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2"/>
      <c r="C675" s="3"/>
      <c r="D675" s="3"/>
      <c r="E675" s="3"/>
      <c r="F675" s="3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2"/>
      <c r="C676" s="3"/>
      <c r="D676" s="3"/>
      <c r="E676" s="3"/>
      <c r="F676" s="3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2"/>
      <c r="C677" s="3"/>
      <c r="D677" s="3"/>
      <c r="E677" s="3"/>
      <c r="F677" s="3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2"/>
      <c r="C678" s="3"/>
      <c r="D678" s="3"/>
      <c r="E678" s="3"/>
      <c r="F678" s="3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2"/>
      <c r="C679" s="3"/>
      <c r="D679" s="3"/>
      <c r="E679" s="3"/>
      <c r="F679" s="3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2"/>
      <c r="C680" s="3"/>
      <c r="D680" s="3"/>
      <c r="E680" s="3"/>
      <c r="F680" s="3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2"/>
      <c r="C681" s="3"/>
      <c r="D681" s="3"/>
      <c r="E681" s="3"/>
      <c r="F681" s="3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2"/>
      <c r="C682" s="3"/>
      <c r="D682" s="3"/>
      <c r="E682" s="3"/>
      <c r="F682" s="3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2"/>
      <c r="C683" s="3"/>
      <c r="D683" s="3"/>
      <c r="E683" s="3"/>
      <c r="F683" s="3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2"/>
      <c r="C684" s="3"/>
      <c r="D684" s="3"/>
      <c r="E684" s="3"/>
      <c r="F684" s="3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2"/>
      <c r="C685" s="3"/>
      <c r="D685" s="3"/>
      <c r="E685" s="3"/>
      <c r="F685" s="3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2"/>
      <c r="C686" s="3"/>
      <c r="D686" s="3"/>
      <c r="E686" s="3"/>
      <c r="F686" s="3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2"/>
      <c r="C687" s="3"/>
      <c r="D687" s="3"/>
      <c r="E687" s="3"/>
      <c r="F687" s="3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2"/>
      <c r="C688" s="3"/>
      <c r="D688" s="3"/>
      <c r="E688" s="3"/>
      <c r="F688" s="3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2"/>
      <c r="C689" s="3"/>
      <c r="D689" s="3"/>
      <c r="E689" s="3"/>
      <c r="F689" s="3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2"/>
      <c r="C690" s="3"/>
      <c r="D690" s="3"/>
      <c r="E690" s="3"/>
      <c r="F690" s="3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2"/>
      <c r="C691" s="3"/>
      <c r="D691" s="3"/>
      <c r="E691" s="3"/>
      <c r="F691" s="3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2"/>
      <c r="C692" s="3"/>
      <c r="D692" s="3"/>
      <c r="E692" s="3"/>
      <c r="F692" s="3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2"/>
      <c r="C693" s="3"/>
      <c r="D693" s="3"/>
      <c r="E693" s="3"/>
      <c r="F693" s="3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2"/>
      <c r="C694" s="3"/>
      <c r="D694" s="3"/>
      <c r="E694" s="3"/>
      <c r="F694" s="3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2"/>
      <c r="C695" s="3"/>
      <c r="D695" s="3"/>
      <c r="E695" s="3"/>
      <c r="F695" s="3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2"/>
      <c r="C696" s="3"/>
      <c r="D696" s="3"/>
      <c r="E696" s="3"/>
      <c r="F696" s="3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2"/>
      <c r="C697" s="3"/>
      <c r="D697" s="3"/>
      <c r="E697" s="3"/>
      <c r="F697" s="3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2"/>
      <c r="C698" s="3"/>
      <c r="D698" s="3"/>
      <c r="E698" s="3"/>
      <c r="F698" s="3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2"/>
      <c r="C699" s="3"/>
      <c r="D699" s="3"/>
      <c r="E699" s="3"/>
      <c r="F699" s="3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2"/>
      <c r="C700" s="3"/>
      <c r="D700" s="3"/>
      <c r="E700" s="3"/>
      <c r="F700" s="3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2"/>
      <c r="C701" s="3"/>
      <c r="D701" s="3"/>
      <c r="E701" s="3"/>
      <c r="F701" s="3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2"/>
      <c r="C702" s="3"/>
      <c r="D702" s="3"/>
      <c r="E702" s="3"/>
      <c r="F702" s="3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2"/>
      <c r="C703" s="3"/>
      <c r="D703" s="3"/>
      <c r="E703" s="3"/>
      <c r="F703" s="3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2"/>
      <c r="C704" s="3"/>
      <c r="D704" s="3"/>
      <c r="E704" s="3"/>
      <c r="F704" s="3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2"/>
      <c r="C705" s="3"/>
      <c r="D705" s="3"/>
      <c r="E705" s="3"/>
      <c r="F705" s="3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2"/>
      <c r="C706" s="3"/>
      <c r="D706" s="3"/>
      <c r="E706" s="3"/>
      <c r="F706" s="3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2"/>
      <c r="C707" s="3"/>
      <c r="D707" s="3"/>
      <c r="E707" s="3"/>
      <c r="F707" s="3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2"/>
      <c r="C708" s="3"/>
      <c r="D708" s="3"/>
      <c r="E708" s="3"/>
      <c r="F708" s="3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2"/>
      <c r="C709" s="3"/>
      <c r="D709" s="3"/>
      <c r="E709" s="3"/>
      <c r="F709" s="3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2"/>
      <c r="C710" s="3"/>
      <c r="D710" s="3"/>
      <c r="E710" s="3"/>
      <c r="F710" s="3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2"/>
      <c r="C711" s="3"/>
      <c r="D711" s="3"/>
      <c r="E711" s="3"/>
      <c r="F711" s="3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2"/>
      <c r="C712" s="3"/>
      <c r="D712" s="3"/>
      <c r="E712" s="3"/>
      <c r="F712" s="3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2"/>
      <c r="C713" s="3"/>
      <c r="D713" s="3"/>
      <c r="E713" s="3"/>
      <c r="F713" s="3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2"/>
      <c r="C714" s="3"/>
      <c r="D714" s="3"/>
      <c r="E714" s="3"/>
      <c r="F714" s="3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2"/>
      <c r="C715" s="3"/>
      <c r="D715" s="3"/>
      <c r="E715" s="3"/>
      <c r="F715" s="3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2"/>
      <c r="C716" s="3"/>
      <c r="D716" s="3"/>
      <c r="E716" s="3"/>
      <c r="F716" s="3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2"/>
      <c r="C717" s="3"/>
      <c r="D717" s="3"/>
      <c r="E717" s="3"/>
      <c r="F717" s="3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2"/>
      <c r="C718" s="3"/>
      <c r="D718" s="3"/>
      <c r="E718" s="3"/>
      <c r="F718" s="3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2"/>
      <c r="C719" s="3"/>
      <c r="D719" s="3"/>
      <c r="E719" s="3"/>
      <c r="F719" s="3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2"/>
      <c r="C720" s="3"/>
      <c r="D720" s="3"/>
      <c r="E720" s="3"/>
      <c r="F720" s="3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2"/>
      <c r="C721" s="3"/>
      <c r="D721" s="3"/>
      <c r="E721" s="3"/>
      <c r="F721" s="3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2"/>
      <c r="C722" s="3"/>
      <c r="D722" s="3"/>
      <c r="E722" s="3"/>
      <c r="F722" s="3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2"/>
      <c r="C723" s="3"/>
      <c r="D723" s="3"/>
      <c r="E723" s="3"/>
      <c r="F723" s="3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2"/>
      <c r="C724" s="3"/>
      <c r="D724" s="3"/>
      <c r="E724" s="3"/>
      <c r="F724" s="3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2"/>
      <c r="C725" s="3"/>
      <c r="D725" s="3"/>
      <c r="E725" s="3"/>
      <c r="F725" s="3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2"/>
      <c r="C726" s="3"/>
      <c r="D726" s="3"/>
      <c r="E726" s="3"/>
      <c r="F726" s="3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2"/>
      <c r="C727" s="3"/>
      <c r="D727" s="3"/>
      <c r="E727" s="3"/>
      <c r="F727" s="3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2"/>
      <c r="C728" s="3"/>
      <c r="D728" s="3"/>
      <c r="E728" s="3"/>
      <c r="F728" s="3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2"/>
      <c r="C729" s="3"/>
      <c r="D729" s="3"/>
      <c r="E729" s="3"/>
      <c r="F729" s="3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2"/>
      <c r="C730" s="3"/>
      <c r="D730" s="3"/>
      <c r="E730" s="3"/>
      <c r="F730" s="3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2"/>
      <c r="C731" s="3"/>
      <c r="D731" s="3"/>
      <c r="E731" s="3"/>
      <c r="F731" s="3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2"/>
      <c r="C732" s="3"/>
      <c r="D732" s="3"/>
      <c r="E732" s="3"/>
      <c r="F732" s="3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2"/>
      <c r="C733" s="3"/>
      <c r="D733" s="3"/>
      <c r="E733" s="3"/>
      <c r="F733" s="3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2"/>
      <c r="C734" s="3"/>
      <c r="D734" s="3"/>
      <c r="E734" s="3"/>
      <c r="F734" s="3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2"/>
      <c r="C735" s="3"/>
      <c r="D735" s="3"/>
      <c r="E735" s="3"/>
      <c r="F735" s="3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2"/>
      <c r="C736" s="3"/>
      <c r="D736" s="3"/>
      <c r="E736" s="3"/>
      <c r="F736" s="3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2"/>
      <c r="C737" s="3"/>
      <c r="D737" s="3"/>
      <c r="E737" s="3"/>
      <c r="F737" s="3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2"/>
      <c r="C738" s="3"/>
      <c r="D738" s="3"/>
      <c r="E738" s="3"/>
      <c r="F738" s="3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2"/>
      <c r="C739" s="3"/>
      <c r="D739" s="3"/>
      <c r="E739" s="3"/>
      <c r="F739" s="3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2"/>
      <c r="C740" s="3"/>
      <c r="D740" s="3"/>
      <c r="E740" s="3"/>
      <c r="F740" s="3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2"/>
      <c r="C741" s="3"/>
      <c r="D741" s="3"/>
      <c r="E741" s="3"/>
      <c r="F741" s="3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2"/>
      <c r="C742" s="3"/>
      <c r="D742" s="3"/>
      <c r="E742" s="3"/>
      <c r="F742" s="3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2"/>
      <c r="C743" s="3"/>
      <c r="D743" s="3"/>
      <c r="E743" s="3"/>
      <c r="F743" s="3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2"/>
      <c r="C744" s="3"/>
      <c r="D744" s="3"/>
      <c r="E744" s="3"/>
      <c r="F744" s="3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2"/>
      <c r="C745" s="3"/>
      <c r="D745" s="3"/>
      <c r="E745" s="3"/>
      <c r="F745" s="3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2"/>
      <c r="C746" s="3"/>
      <c r="D746" s="3"/>
      <c r="E746" s="3"/>
      <c r="F746" s="3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2"/>
      <c r="C747" s="3"/>
      <c r="D747" s="3"/>
      <c r="E747" s="3"/>
      <c r="F747" s="3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2"/>
      <c r="C748" s="3"/>
      <c r="D748" s="3"/>
      <c r="E748" s="3"/>
      <c r="F748" s="3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2"/>
      <c r="C749" s="3"/>
      <c r="D749" s="3"/>
      <c r="E749" s="3"/>
      <c r="F749" s="3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2"/>
      <c r="C750" s="3"/>
      <c r="D750" s="3"/>
      <c r="E750" s="3"/>
      <c r="F750" s="3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2"/>
      <c r="C751" s="3"/>
      <c r="D751" s="3"/>
      <c r="E751" s="3"/>
      <c r="F751" s="3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2"/>
      <c r="C752" s="3"/>
      <c r="D752" s="3"/>
      <c r="E752" s="3"/>
      <c r="F752" s="3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2"/>
      <c r="C753" s="3"/>
      <c r="D753" s="3"/>
      <c r="E753" s="3"/>
      <c r="F753" s="3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2"/>
      <c r="C754" s="3"/>
      <c r="D754" s="3"/>
      <c r="E754" s="3"/>
      <c r="F754" s="3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2"/>
      <c r="C755" s="3"/>
      <c r="D755" s="3"/>
      <c r="E755" s="3"/>
      <c r="F755" s="3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2"/>
      <c r="C756" s="3"/>
      <c r="D756" s="3"/>
      <c r="E756" s="3"/>
      <c r="F756" s="3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2"/>
      <c r="C757" s="3"/>
      <c r="D757" s="3"/>
      <c r="E757" s="3"/>
      <c r="F757" s="3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2"/>
      <c r="C758" s="3"/>
      <c r="D758" s="3"/>
      <c r="E758" s="3"/>
      <c r="F758" s="3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2"/>
      <c r="C759" s="3"/>
      <c r="D759" s="3"/>
      <c r="E759" s="3"/>
      <c r="F759" s="3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2"/>
      <c r="C760" s="3"/>
      <c r="D760" s="3"/>
      <c r="E760" s="3"/>
      <c r="F760" s="3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2"/>
      <c r="C761" s="3"/>
      <c r="D761" s="3"/>
      <c r="E761" s="3"/>
      <c r="F761" s="3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2"/>
      <c r="C762" s="3"/>
      <c r="D762" s="3"/>
      <c r="E762" s="3"/>
      <c r="F762" s="3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2"/>
      <c r="C763" s="3"/>
      <c r="D763" s="3"/>
      <c r="E763" s="3"/>
      <c r="F763" s="3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2"/>
      <c r="C764" s="3"/>
      <c r="D764" s="3"/>
      <c r="E764" s="3"/>
      <c r="F764" s="3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2"/>
      <c r="C765" s="3"/>
      <c r="D765" s="3"/>
      <c r="E765" s="3"/>
      <c r="F765" s="3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2"/>
      <c r="C766" s="3"/>
      <c r="D766" s="3"/>
      <c r="E766" s="3"/>
      <c r="F766" s="3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2"/>
      <c r="C767" s="3"/>
      <c r="D767" s="3"/>
      <c r="E767" s="3"/>
      <c r="F767" s="3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2"/>
      <c r="C768" s="3"/>
      <c r="D768" s="3"/>
      <c r="E768" s="3"/>
      <c r="F768" s="3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2"/>
      <c r="C769" s="3"/>
      <c r="D769" s="3"/>
      <c r="E769" s="3"/>
      <c r="F769" s="3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2"/>
      <c r="C770" s="3"/>
      <c r="D770" s="3"/>
      <c r="E770" s="3"/>
      <c r="F770" s="3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2"/>
      <c r="C771" s="3"/>
      <c r="D771" s="3"/>
      <c r="E771" s="3"/>
      <c r="F771" s="3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2"/>
      <c r="C772" s="3"/>
      <c r="D772" s="3"/>
      <c r="E772" s="3"/>
      <c r="F772" s="3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2"/>
      <c r="C773" s="3"/>
      <c r="D773" s="3"/>
      <c r="E773" s="3"/>
      <c r="F773" s="3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2"/>
      <c r="C774" s="3"/>
      <c r="D774" s="3"/>
      <c r="E774" s="3"/>
      <c r="F774" s="3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2"/>
      <c r="C775" s="3"/>
      <c r="D775" s="3"/>
      <c r="E775" s="3"/>
      <c r="F775" s="3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2"/>
      <c r="C776" s="3"/>
      <c r="D776" s="3"/>
      <c r="E776" s="3"/>
      <c r="F776" s="3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2"/>
      <c r="C777" s="3"/>
      <c r="D777" s="3"/>
      <c r="E777" s="3"/>
      <c r="F777" s="3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2"/>
      <c r="C778" s="3"/>
      <c r="D778" s="3"/>
      <c r="E778" s="3"/>
      <c r="F778" s="3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2"/>
      <c r="C779" s="3"/>
      <c r="D779" s="3"/>
      <c r="E779" s="3"/>
      <c r="F779" s="3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2"/>
      <c r="C780" s="3"/>
      <c r="D780" s="3"/>
      <c r="E780" s="3"/>
      <c r="F780" s="3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2"/>
      <c r="C781" s="3"/>
      <c r="D781" s="3"/>
      <c r="E781" s="3"/>
      <c r="F781" s="3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2"/>
      <c r="C782" s="3"/>
      <c r="D782" s="3"/>
      <c r="E782" s="3"/>
      <c r="F782" s="3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2"/>
      <c r="C783" s="3"/>
      <c r="D783" s="3"/>
      <c r="E783" s="3"/>
      <c r="F783" s="3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2"/>
      <c r="C784" s="3"/>
      <c r="D784" s="3"/>
      <c r="E784" s="3"/>
      <c r="F784" s="3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2"/>
      <c r="C785" s="3"/>
      <c r="D785" s="3"/>
      <c r="E785" s="3"/>
      <c r="F785" s="3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2"/>
      <c r="C786" s="3"/>
      <c r="D786" s="3"/>
      <c r="E786" s="3"/>
      <c r="F786" s="3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2"/>
      <c r="C787" s="3"/>
      <c r="D787" s="3"/>
      <c r="E787" s="3"/>
      <c r="F787" s="3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2"/>
      <c r="C788" s="3"/>
      <c r="D788" s="3"/>
      <c r="E788" s="3"/>
      <c r="F788" s="3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2"/>
      <c r="C789" s="3"/>
      <c r="D789" s="3"/>
      <c r="E789" s="3"/>
      <c r="F789" s="3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2"/>
      <c r="C790" s="3"/>
      <c r="D790" s="3"/>
      <c r="E790" s="3"/>
      <c r="F790" s="3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2"/>
      <c r="C791" s="3"/>
      <c r="D791" s="3"/>
      <c r="E791" s="3"/>
      <c r="F791" s="3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2"/>
      <c r="C792" s="3"/>
      <c r="D792" s="3"/>
      <c r="E792" s="3"/>
      <c r="F792" s="3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2"/>
      <c r="C793" s="3"/>
      <c r="D793" s="3"/>
      <c r="E793" s="3"/>
      <c r="F793" s="3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2"/>
      <c r="C794" s="3"/>
      <c r="D794" s="3"/>
      <c r="E794" s="3"/>
      <c r="F794" s="3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2"/>
      <c r="C795" s="3"/>
      <c r="D795" s="3"/>
      <c r="E795" s="3"/>
      <c r="F795" s="3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2"/>
      <c r="C796" s="3"/>
      <c r="D796" s="3"/>
      <c r="E796" s="3"/>
      <c r="F796" s="3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2"/>
      <c r="C797" s="3"/>
      <c r="D797" s="3"/>
      <c r="E797" s="3"/>
      <c r="F797" s="3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2"/>
      <c r="C798" s="3"/>
      <c r="D798" s="3"/>
      <c r="E798" s="3"/>
      <c r="F798" s="3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2"/>
      <c r="C799" s="3"/>
      <c r="D799" s="3"/>
      <c r="E799" s="3"/>
      <c r="F799" s="3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2"/>
      <c r="C800" s="3"/>
      <c r="D800" s="3"/>
      <c r="E800" s="3"/>
      <c r="F800" s="3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2"/>
      <c r="C801" s="3"/>
      <c r="D801" s="3"/>
      <c r="E801" s="3"/>
      <c r="F801" s="3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2"/>
      <c r="C802" s="3"/>
      <c r="D802" s="3"/>
      <c r="E802" s="3"/>
      <c r="F802" s="3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2"/>
      <c r="C803" s="3"/>
      <c r="D803" s="3"/>
      <c r="E803" s="3"/>
      <c r="F803" s="3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2"/>
      <c r="C804" s="3"/>
      <c r="D804" s="3"/>
      <c r="E804" s="3"/>
      <c r="F804" s="3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2"/>
      <c r="C805" s="3"/>
      <c r="D805" s="3"/>
      <c r="E805" s="3"/>
      <c r="F805" s="3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2"/>
      <c r="C806" s="3"/>
      <c r="D806" s="3"/>
      <c r="E806" s="3"/>
      <c r="F806" s="3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2"/>
      <c r="C807" s="3"/>
      <c r="D807" s="3"/>
      <c r="E807" s="3"/>
      <c r="F807" s="3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2"/>
      <c r="C808" s="3"/>
      <c r="D808" s="3"/>
      <c r="E808" s="3"/>
      <c r="F808" s="3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2"/>
      <c r="C809" s="3"/>
      <c r="D809" s="3"/>
      <c r="E809" s="3"/>
      <c r="F809" s="3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2"/>
      <c r="C810" s="3"/>
      <c r="D810" s="3"/>
      <c r="E810" s="3"/>
      <c r="F810" s="3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2"/>
      <c r="C811" s="3"/>
      <c r="D811" s="3"/>
      <c r="E811" s="3"/>
      <c r="F811" s="3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2"/>
      <c r="C812" s="3"/>
      <c r="D812" s="3"/>
      <c r="E812" s="3"/>
      <c r="F812" s="3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2"/>
      <c r="C813" s="3"/>
      <c r="D813" s="3"/>
      <c r="E813" s="3"/>
      <c r="F813" s="3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2"/>
      <c r="C814" s="3"/>
      <c r="D814" s="3"/>
      <c r="E814" s="3"/>
      <c r="F814" s="3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2"/>
      <c r="C815" s="3"/>
      <c r="D815" s="3"/>
      <c r="E815" s="3"/>
      <c r="F815" s="3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2"/>
      <c r="C816" s="3"/>
      <c r="D816" s="3"/>
      <c r="E816" s="3"/>
      <c r="F816" s="3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2"/>
      <c r="C817" s="3"/>
      <c r="D817" s="3"/>
      <c r="E817" s="3"/>
      <c r="F817" s="3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2"/>
      <c r="C818" s="3"/>
      <c r="D818" s="3"/>
      <c r="E818" s="3"/>
      <c r="F818" s="3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2"/>
      <c r="C819" s="3"/>
      <c r="D819" s="3"/>
      <c r="E819" s="3"/>
      <c r="F819" s="3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2"/>
      <c r="C820" s="3"/>
      <c r="D820" s="3"/>
      <c r="E820" s="3"/>
      <c r="F820" s="3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2"/>
      <c r="C821" s="3"/>
      <c r="D821" s="3"/>
      <c r="E821" s="3"/>
      <c r="F821" s="3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2"/>
      <c r="C822" s="3"/>
      <c r="D822" s="3"/>
      <c r="E822" s="3"/>
      <c r="F822" s="3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2"/>
      <c r="C823" s="3"/>
      <c r="D823" s="3"/>
      <c r="E823" s="3"/>
      <c r="F823" s="3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2"/>
      <c r="C824" s="3"/>
      <c r="D824" s="3"/>
      <c r="E824" s="3"/>
      <c r="F824" s="3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2"/>
      <c r="C825" s="3"/>
      <c r="D825" s="3"/>
      <c r="E825" s="3"/>
      <c r="F825" s="3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2"/>
      <c r="C826" s="3"/>
      <c r="D826" s="3"/>
      <c r="E826" s="3"/>
      <c r="F826" s="3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2"/>
      <c r="C827" s="3"/>
      <c r="D827" s="3"/>
      <c r="E827" s="3"/>
      <c r="F827" s="3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2"/>
      <c r="C828" s="3"/>
      <c r="D828" s="3"/>
      <c r="E828" s="3"/>
      <c r="F828" s="3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2"/>
      <c r="C829" s="3"/>
      <c r="D829" s="3"/>
      <c r="E829" s="3"/>
      <c r="F829" s="3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2"/>
      <c r="C830" s="3"/>
      <c r="D830" s="3"/>
      <c r="E830" s="3"/>
      <c r="F830" s="3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2"/>
      <c r="C831" s="3"/>
      <c r="D831" s="3"/>
      <c r="E831" s="3"/>
      <c r="F831" s="3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2"/>
      <c r="C832" s="3"/>
      <c r="D832" s="3"/>
      <c r="E832" s="3"/>
      <c r="F832" s="3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2"/>
      <c r="C833" s="3"/>
      <c r="D833" s="3"/>
      <c r="E833" s="3"/>
      <c r="F833" s="3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2"/>
      <c r="C834" s="3"/>
      <c r="D834" s="3"/>
      <c r="E834" s="3"/>
      <c r="F834" s="3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2"/>
      <c r="C835" s="3"/>
      <c r="D835" s="3"/>
      <c r="E835" s="3"/>
      <c r="F835" s="3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2"/>
      <c r="C836" s="3"/>
      <c r="D836" s="3"/>
      <c r="E836" s="3"/>
      <c r="F836" s="3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2"/>
      <c r="C837" s="3"/>
      <c r="D837" s="3"/>
      <c r="E837" s="3"/>
      <c r="F837" s="3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2"/>
      <c r="C838" s="3"/>
      <c r="D838" s="3"/>
      <c r="E838" s="3"/>
      <c r="F838" s="3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2"/>
      <c r="C839" s="3"/>
      <c r="D839" s="3"/>
      <c r="E839" s="3"/>
      <c r="F839" s="3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2"/>
      <c r="C840" s="3"/>
      <c r="D840" s="3"/>
      <c r="E840" s="3"/>
      <c r="F840" s="3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2"/>
      <c r="C841" s="3"/>
      <c r="D841" s="3"/>
      <c r="E841" s="3"/>
      <c r="F841" s="3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2"/>
      <c r="C842" s="3"/>
      <c r="D842" s="3"/>
      <c r="E842" s="3"/>
      <c r="F842" s="3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2"/>
      <c r="C843" s="3"/>
      <c r="D843" s="3"/>
      <c r="E843" s="3"/>
      <c r="F843" s="3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2"/>
      <c r="C844" s="3"/>
      <c r="D844" s="3"/>
      <c r="E844" s="3"/>
      <c r="F844" s="3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2"/>
      <c r="C845" s="3"/>
      <c r="D845" s="3"/>
      <c r="E845" s="3"/>
      <c r="F845" s="3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2"/>
      <c r="C846" s="3"/>
      <c r="D846" s="3"/>
      <c r="E846" s="3"/>
      <c r="F846" s="3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2"/>
      <c r="C847" s="3"/>
      <c r="D847" s="3"/>
      <c r="E847" s="3"/>
      <c r="F847" s="3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2"/>
      <c r="C848" s="3"/>
      <c r="D848" s="3"/>
      <c r="E848" s="3"/>
      <c r="F848" s="3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2"/>
      <c r="C849" s="3"/>
      <c r="D849" s="3"/>
      <c r="E849" s="3"/>
      <c r="F849" s="3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2"/>
      <c r="C850" s="3"/>
      <c r="D850" s="3"/>
      <c r="E850" s="3"/>
      <c r="F850" s="3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2"/>
      <c r="C851" s="3"/>
      <c r="D851" s="3"/>
      <c r="E851" s="3"/>
      <c r="F851" s="3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2"/>
      <c r="C852" s="3"/>
      <c r="D852" s="3"/>
      <c r="E852" s="3"/>
      <c r="F852" s="3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2"/>
      <c r="C853" s="3"/>
      <c r="D853" s="3"/>
      <c r="E853" s="3"/>
      <c r="F853" s="3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2"/>
      <c r="C854" s="3"/>
      <c r="D854" s="3"/>
      <c r="E854" s="3"/>
      <c r="F854" s="3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2"/>
      <c r="C855" s="3"/>
      <c r="D855" s="3"/>
      <c r="E855" s="3"/>
      <c r="F855" s="3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2"/>
      <c r="C856" s="3"/>
      <c r="D856" s="3"/>
      <c r="E856" s="3"/>
      <c r="F856" s="3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2"/>
      <c r="C857" s="3"/>
      <c r="D857" s="3"/>
      <c r="E857" s="3"/>
      <c r="F857" s="3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2"/>
      <c r="C858" s="3"/>
      <c r="D858" s="3"/>
      <c r="E858" s="3"/>
      <c r="F858" s="3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2"/>
      <c r="C859" s="3"/>
      <c r="D859" s="3"/>
      <c r="E859" s="3"/>
      <c r="F859" s="3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2"/>
      <c r="C860" s="3"/>
      <c r="D860" s="3"/>
      <c r="E860" s="3"/>
      <c r="F860" s="3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2"/>
      <c r="C861" s="3"/>
      <c r="D861" s="3"/>
      <c r="E861" s="3"/>
      <c r="F861" s="3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2"/>
      <c r="C862" s="3"/>
      <c r="D862" s="3"/>
      <c r="E862" s="3"/>
      <c r="F862" s="3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2"/>
      <c r="C863" s="3"/>
      <c r="D863" s="3"/>
      <c r="E863" s="3"/>
      <c r="F863" s="3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2"/>
      <c r="C864" s="3"/>
      <c r="D864" s="3"/>
      <c r="E864" s="3"/>
      <c r="F864" s="3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2"/>
      <c r="C865" s="3"/>
      <c r="D865" s="3"/>
      <c r="E865" s="3"/>
      <c r="F865" s="3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2"/>
      <c r="C866" s="3"/>
      <c r="D866" s="3"/>
      <c r="E866" s="3"/>
      <c r="F866" s="3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2"/>
      <c r="C867" s="3"/>
      <c r="D867" s="3"/>
      <c r="E867" s="3"/>
      <c r="F867" s="3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2"/>
      <c r="C868" s="3"/>
      <c r="D868" s="3"/>
      <c r="E868" s="3"/>
      <c r="F868" s="3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2"/>
      <c r="C869" s="3"/>
      <c r="D869" s="3"/>
      <c r="E869" s="3"/>
      <c r="F869" s="3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2"/>
      <c r="C870" s="3"/>
      <c r="D870" s="3"/>
      <c r="E870" s="3"/>
      <c r="F870" s="3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2"/>
      <c r="C871" s="3"/>
      <c r="D871" s="3"/>
      <c r="E871" s="3"/>
      <c r="F871" s="3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2"/>
      <c r="C872" s="3"/>
      <c r="D872" s="3"/>
      <c r="E872" s="3"/>
      <c r="F872" s="3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2"/>
      <c r="C873" s="3"/>
      <c r="D873" s="3"/>
      <c r="E873" s="3"/>
      <c r="F873" s="3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2"/>
      <c r="C874" s="3"/>
      <c r="D874" s="3"/>
      <c r="E874" s="3"/>
      <c r="F874" s="3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2"/>
      <c r="C875" s="3"/>
      <c r="D875" s="3"/>
      <c r="E875" s="3"/>
      <c r="F875" s="3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2"/>
      <c r="C876" s="3"/>
      <c r="D876" s="3"/>
      <c r="E876" s="3"/>
      <c r="F876" s="3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2"/>
      <c r="C877" s="3"/>
      <c r="D877" s="3"/>
      <c r="E877" s="3"/>
      <c r="F877" s="3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2"/>
      <c r="C878" s="3"/>
      <c r="D878" s="3"/>
      <c r="E878" s="3"/>
      <c r="F878" s="3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2"/>
      <c r="C879" s="3"/>
      <c r="D879" s="3"/>
      <c r="E879" s="3"/>
      <c r="F879" s="3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2"/>
      <c r="C880" s="3"/>
      <c r="D880" s="3"/>
      <c r="E880" s="3"/>
      <c r="F880" s="3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2"/>
      <c r="C881" s="3"/>
      <c r="D881" s="3"/>
      <c r="E881" s="3"/>
      <c r="F881" s="3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2"/>
      <c r="C882" s="3"/>
      <c r="D882" s="3"/>
      <c r="E882" s="3"/>
      <c r="F882" s="3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2"/>
      <c r="C883" s="3"/>
      <c r="D883" s="3"/>
      <c r="E883" s="3"/>
      <c r="F883" s="3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2"/>
      <c r="C884" s="3"/>
      <c r="D884" s="3"/>
      <c r="E884" s="3"/>
      <c r="F884" s="3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2"/>
      <c r="C885" s="3"/>
      <c r="D885" s="3"/>
      <c r="E885" s="3"/>
      <c r="F885" s="3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2"/>
      <c r="C886" s="3"/>
      <c r="D886" s="3"/>
      <c r="E886" s="3"/>
      <c r="F886" s="3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2"/>
      <c r="C887" s="3"/>
      <c r="D887" s="3"/>
      <c r="E887" s="3"/>
      <c r="F887" s="3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2"/>
      <c r="C888" s="3"/>
      <c r="D888" s="3"/>
      <c r="E888" s="3"/>
      <c r="F888" s="3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2"/>
      <c r="C889" s="3"/>
      <c r="D889" s="3"/>
      <c r="E889" s="3"/>
      <c r="F889" s="3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2"/>
      <c r="C890" s="3"/>
      <c r="D890" s="3"/>
      <c r="E890" s="3"/>
      <c r="F890" s="3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2"/>
      <c r="C891" s="3"/>
      <c r="D891" s="3"/>
      <c r="E891" s="3"/>
      <c r="F891" s="3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2"/>
      <c r="C892" s="3"/>
      <c r="D892" s="3"/>
      <c r="E892" s="3"/>
      <c r="F892" s="3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2"/>
      <c r="C893" s="3"/>
      <c r="D893" s="3"/>
      <c r="E893" s="3"/>
      <c r="F893" s="3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2"/>
      <c r="C894" s="3"/>
      <c r="D894" s="3"/>
      <c r="E894" s="3"/>
      <c r="F894" s="3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2"/>
      <c r="C895" s="3"/>
      <c r="D895" s="3"/>
      <c r="E895" s="3"/>
      <c r="F895" s="3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2"/>
      <c r="C896" s="3"/>
      <c r="D896" s="3"/>
      <c r="E896" s="3"/>
      <c r="F896" s="3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2"/>
      <c r="C897" s="3"/>
      <c r="D897" s="3"/>
      <c r="E897" s="3"/>
      <c r="F897" s="3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2"/>
      <c r="C898" s="3"/>
      <c r="D898" s="3"/>
      <c r="E898" s="3"/>
      <c r="F898" s="3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2"/>
      <c r="C899" s="3"/>
      <c r="D899" s="3"/>
      <c r="E899" s="3"/>
      <c r="F899" s="3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2"/>
      <c r="C900" s="3"/>
      <c r="D900" s="3"/>
      <c r="E900" s="3"/>
      <c r="F900" s="3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2"/>
      <c r="C901" s="3"/>
      <c r="D901" s="3"/>
      <c r="E901" s="3"/>
      <c r="F901" s="3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2"/>
      <c r="C902" s="3"/>
      <c r="D902" s="3"/>
      <c r="E902" s="3"/>
      <c r="F902" s="3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2"/>
      <c r="C903" s="3"/>
      <c r="D903" s="3"/>
      <c r="E903" s="3"/>
      <c r="F903" s="3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2"/>
      <c r="C904" s="3"/>
      <c r="D904" s="3"/>
      <c r="E904" s="3"/>
      <c r="F904" s="3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2"/>
      <c r="C905" s="3"/>
      <c r="D905" s="3"/>
      <c r="E905" s="3"/>
      <c r="F905" s="3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2"/>
      <c r="C906" s="3"/>
      <c r="D906" s="3"/>
      <c r="E906" s="3"/>
      <c r="F906" s="3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2"/>
      <c r="C907" s="3"/>
      <c r="D907" s="3"/>
      <c r="E907" s="3"/>
      <c r="F907" s="3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2"/>
      <c r="C908" s="3"/>
      <c r="D908" s="3"/>
      <c r="E908" s="3"/>
      <c r="F908" s="3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2"/>
      <c r="C909" s="3"/>
      <c r="D909" s="3"/>
      <c r="E909" s="3"/>
      <c r="F909" s="3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2"/>
      <c r="C910" s="3"/>
      <c r="D910" s="3"/>
      <c r="E910" s="3"/>
      <c r="F910" s="3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2"/>
      <c r="C911" s="3"/>
      <c r="D911" s="3"/>
      <c r="E911" s="3"/>
      <c r="F911" s="3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2"/>
      <c r="C912" s="3"/>
      <c r="D912" s="3"/>
      <c r="E912" s="3"/>
      <c r="F912" s="3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2"/>
      <c r="C913" s="3"/>
      <c r="D913" s="3"/>
      <c r="E913" s="3"/>
      <c r="F913" s="3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2"/>
      <c r="C914" s="3"/>
      <c r="D914" s="3"/>
      <c r="E914" s="3"/>
      <c r="F914" s="3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2"/>
      <c r="C915" s="3"/>
      <c r="D915" s="3"/>
      <c r="E915" s="3"/>
      <c r="F915" s="3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2"/>
      <c r="C916" s="3"/>
      <c r="D916" s="3"/>
      <c r="E916" s="3"/>
      <c r="F916" s="3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2"/>
      <c r="C917" s="3"/>
      <c r="D917" s="3"/>
      <c r="E917" s="3"/>
      <c r="F917" s="3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2"/>
      <c r="C918" s="3"/>
      <c r="D918" s="3"/>
      <c r="E918" s="3"/>
      <c r="F918" s="3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2"/>
      <c r="C919" s="3"/>
      <c r="D919" s="3"/>
      <c r="E919" s="3"/>
      <c r="F919" s="3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2"/>
      <c r="C920" s="3"/>
      <c r="D920" s="3"/>
      <c r="E920" s="3"/>
      <c r="F920" s="3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2"/>
      <c r="C921" s="3"/>
      <c r="D921" s="3"/>
      <c r="E921" s="3"/>
      <c r="F921" s="3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2"/>
      <c r="C922" s="3"/>
      <c r="D922" s="3"/>
      <c r="E922" s="3"/>
      <c r="F922" s="3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2"/>
      <c r="C923" s="3"/>
      <c r="D923" s="3"/>
      <c r="E923" s="3"/>
      <c r="F923" s="3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2"/>
      <c r="C924" s="3"/>
      <c r="D924" s="3"/>
      <c r="E924" s="3"/>
      <c r="F924" s="3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2"/>
      <c r="C925" s="3"/>
      <c r="D925" s="3"/>
      <c r="E925" s="3"/>
      <c r="F925" s="3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2"/>
      <c r="C926" s="3"/>
      <c r="D926" s="3"/>
      <c r="E926" s="3"/>
      <c r="F926" s="3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2"/>
      <c r="C927" s="3"/>
      <c r="D927" s="3"/>
      <c r="E927" s="3"/>
      <c r="F927" s="3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2"/>
      <c r="C928" s="3"/>
      <c r="D928" s="3"/>
      <c r="E928" s="3"/>
      <c r="F928" s="3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2"/>
      <c r="C929" s="3"/>
      <c r="D929" s="3"/>
      <c r="E929" s="3"/>
      <c r="F929" s="3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2"/>
      <c r="C930" s="3"/>
      <c r="D930" s="3"/>
      <c r="E930" s="3"/>
      <c r="F930" s="3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2"/>
      <c r="C931" s="3"/>
      <c r="D931" s="3"/>
      <c r="E931" s="3"/>
      <c r="F931" s="3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2"/>
      <c r="C932" s="3"/>
      <c r="D932" s="3"/>
      <c r="E932" s="3"/>
      <c r="F932" s="3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2"/>
      <c r="C933" s="3"/>
      <c r="D933" s="3"/>
      <c r="E933" s="3"/>
      <c r="F933" s="3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2"/>
      <c r="C934" s="3"/>
      <c r="D934" s="3"/>
      <c r="E934" s="3"/>
      <c r="F934" s="3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2"/>
      <c r="C935" s="3"/>
      <c r="D935" s="3"/>
      <c r="E935" s="3"/>
      <c r="F935" s="3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2"/>
      <c r="C936" s="3"/>
      <c r="D936" s="3"/>
      <c r="E936" s="3"/>
      <c r="F936" s="3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2"/>
      <c r="C937" s="3"/>
      <c r="D937" s="3"/>
      <c r="E937" s="3"/>
      <c r="F937" s="3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2"/>
      <c r="C938" s="3"/>
      <c r="D938" s="3"/>
      <c r="E938" s="3"/>
      <c r="F938" s="3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2"/>
      <c r="C939" s="3"/>
      <c r="D939" s="3"/>
      <c r="E939" s="3"/>
      <c r="F939" s="3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2"/>
      <c r="C940" s="3"/>
      <c r="D940" s="3"/>
      <c r="E940" s="3"/>
      <c r="F940" s="3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2"/>
      <c r="C941" s="3"/>
      <c r="D941" s="3"/>
      <c r="E941" s="3"/>
      <c r="F941" s="3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2"/>
      <c r="C942" s="3"/>
      <c r="D942" s="3"/>
      <c r="E942" s="3"/>
      <c r="F942" s="3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2"/>
      <c r="C943" s="3"/>
      <c r="D943" s="3"/>
      <c r="E943" s="3"/>
      <c r="F943" s="3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2"/>
      <c r="C944" s="3"/>
      <c r="D944" s="3"/>
      <c r="E944" s="3"/>
      <c r="F944" s="3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2"/>
      <c r="C945" s="3"/>
      <c r="D945" s="3"/>
      <c r="E945" s="3"/>
      <c r="F945" s="3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2"/>
      <c r="C946" s="3"/>
      <c r="D946" s="3"/>
      <c r="E946" s="3"/>
      <c r="F946" s="3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2"/>
      <c r="C947" s="3"/>
      <c r="D947" s="3"/>
      <c r="E947" s="3"/>
      <c r="F947" s="3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2"/>
      <c r="C948" s="3"/>
      <c r="D948" s="3"/>
      <c r="E948" s="3"/>
      <c r="F948" s="3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2"/>
      <c r="C949" s="3"/>
      <c r="D949" s="3"/>
      <c r="E949" s="3"/>
      <c r="F949" s="3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2"/>
      <c r="C950" s="3"/>
      <c r="D950" s="3"/>
      <c r="E950" s="3"/>
      <c r="F950" s="3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2"/>
      <c r="C951" s="3"/>
      <c r="D951" s="3"/>
      <c r="E951" s="3"/>
      <c r="F951" s="3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2"/>
      <c r="C952" s="3"/>
      <c r="D952" s="3"/>
      <c r="E952" s="3"/>
      <c r="F952" s="3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2"/>
      <c r="C953" s="3"/>
      <c r="D953" s="3"/>
      <c r="E953" s="3"/>
      <c r="F953" s="3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2"/>
      <c r="C954" s="3"/>
      <c r="D954" s="3"/>
      <c r="E954" s="3"/>
      <c r="F954" s="3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2"/>
      <c r="C955" s="3"/>
      <c r="D955" s="3"/>
      <c r="E955" s="3"/>
      <c r="F955" s="3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2"/>
      <c r="C956" s="3"/>
      <c r="D956" s="3"/>
      <c r="E956" s="3"/>
      <c r="F956" s="3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2"/>
      <c r="C957" s="3"/>
      <c r="D957" s="3"/>
      <c r="E957" s="3"/>
      <c r="F957" s="3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2"/>
      <c r="C958" s="3"/>
      <c r="D958" s="3"/>
      <c r="E958" s="3"/>
      <c r="F958" s="3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2"/>
      <c r="C959" s="3"/>
      <c r="D959" s="3"/>
      <c r="E959" s="3"/>
      <c r="F959" s="3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2"/>
      <c r="C960" s="3"/>
      <c r="D960" s="3"/>
      <c r="E960" s="3"/>
      <c r="F960" s="3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2"/>
      <c r="C961" s="3"/>
      <c r="D961" s="3"/>
      <c r="E961" s="3"/>
      <c r="F961" s="3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2"/>
      <c r="C962" s="3"/>
      <c r="D962" s="3"/>
      <c r="E962" s="3"/>
      <c r="F962" s="3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2"/>
      <c r="C963" s="3"/>
      <c r="D963" s="3"/>
      <c r="E963" s="3"/>
      <c r="F963" s="3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2"/>
      <c r="C964" s="3"/>
      <c r="D964" s="3"/>
      <c r="E964" s="3"/>
      <c r="F964" s="3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2"/>
      <c r="C965" s="3"/>
      <c r="D965" s="3"/>
      <c r="E965" s="3"/>
      <c r="F965" s="3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2"/>
      <c r="C966" s="3"/>
      <c r="D966" s="3"/>
      <c r="E966" s="3"/>
      <c r="F966" s="3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2"/>
      <c r="C967" s="3"/>
      <c r="D967" s="3"/>
      <c r="E967" s="3"/>
      <c r="F967" s="3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2"/>
      <c r="C968" s="3"/>
      <c r="D968" s="3"/>
      <c r="E968" s="3"/>
      <c r="F968" s="3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2"/>
      <c r="C969" s="3"/>
      <c r="D969" s="3"/>
      <c r="E969" s="3"/>
      <c r="F969" s="3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2"/>
      <c r="C970" s="3"/>
      <c r="D970" s="3"/>
      <c r="E970" s="3"/>
      <c r="F970" s="3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2"/>
      <c r="C971" s="3"/>
      <c r="D971" s="3"/>
      <c r="E971" s="3"/>
      <c r="F971" s="3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2"/>
      <c r="C972" s="3"/>
      <c r="D972" s="3"/>
      <c r="E972" s="3"/>
      <c r="F972" s="3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2"/>
      <c r="C973" s="3"/>
      <c r="D973" s="3"/>
      <c r="E973" s="3"/>
      <c r="F973" s="3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2"/>
      <c r="C974" s="3"/>
      <c r="D974" s="3"/>
      <c r="E974" s="3"/>
      <c r="F974" s="3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2"/>
      <c r="C975" s="3"/>
      <c r="D975" s="3"/>
      <c r="E975" s="3"/>
      <c r="F975" s="3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2"/>
      <c r="C976" s="3"/>
      <c r="D976" s="3"/>
      <c r="E976" s="3"/>
      <c r="F976" s="3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2"/>
      <c r="C977" s="3"/>
      <c r="D977" s="3"/>
      <c r="E977" s="3"/>
      <c r="F977" s="3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2"/>
      <c r="C978" s="3"/>
      <c r="D978" s="3"/>
      <c r="E978" s="3"/>
      <c r="F978" s="3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2"/>
      <c r="C979" s="3"/>
      <c r="D979" s="3"/>
      <c r="E979" s="3"/>
      <c r="F979" s="3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2"/>
      <c r="C980" s="3"/>
      <c r="D980" s="3"/>
      <c r="E980" s="3"/>
      <c r="F980" s="3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2"/>
      <c r="C981" s="3"/>
      <c r="D981" s="3"/>
      <c r="E981" s="3"/>
      <c r="F981" s="3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2"/>
      <c r="C982" s="3"/>
      <c r="D982" s="3"/>
      <c r="E982" s="3"/>
      <c r="F982" s="3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2"/>
      <c r="C983" s="3"/>
      <c r="D983" s="3"/>
      <c r="E983" s="3"/>
      <c r="F983" s="3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2"/>
      <c r="C984" s="3"/>
      <c r="D984" s="3"/>
      <c r="E984" s="3"/>
      <c r="F984" s="3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2"/>
      <c r="C985" s="3"/>
      <c r="D985" s="3"/>
      <c r="E985" s="3"/>
      <c r="F985" s="3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2"/>
      <c r="C986" s="3"/>
      <c r="D986" s="3"/>
      <c r="E986" s="3"/>
      <c r="F986" s="3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2"/>
      <c r="C987" s="3"/>
      <c r="D987" s="3"/>
      <c r="E987" s="3"/>
      <c r="F987" s="3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2"/>
      <c r="C988" s="3"/>
      <c r="D988" s="3"/>
      <c r="E988" s="3"/>
      <c r="F988" s="3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2"/>
      <c r="C989" s="3"/>
      <c r="D989" s="3"/>
      <c r="E989" s="3"/>
      <c r="F989" s="3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2"/>
      <c r="C990" s="3"/>
      <c r="D990" s="3"/>
      <c r="E990" s="3"/>
      <c r="F990" s="3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2"/>
      <c r="C991" s="3"/>
      <c r="D991" s="3"/>
      <c r="E991" s="3"/>
      <c r="F991" s="3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2"/>
      <c r="C992" s="3"/>
      <c r="D992" s="3"/>
      <c r="E992" s="3"/>
      <c r="F992" s="3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2"/>
      <c r="C993" s="3"/>
      <c r="D993" s="3"/>
      <c r="E993" s="3"/>
      <c r="F993" s="3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2"/>
      <c r="C994" s="3"/>
      <c r="D994" s="3"/>
      <c r="E994" s="3"/>
      <c r="F994" s="3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2"/>
      <c r="C995" s="3"/>
      <c r="D995" s="3"/>
      <c r="E995" s="3"/>
      <c r="F995" s="3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2"/>
      <c r="C996" s="3"/>
      <c r="D996" s="3"/>
      <c r="E996" s="3"/>
      <c r="F996" s="3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2"/>
      <c r="C997" s="3"/>
      <c r="D997" s="3"/>
      <c r="E997" s="3"/>
      <c r="F997" s="3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6">
    <mergeCell ref="B3:C3"/>
    <mergeCell ref="D3:F3"/>
    <mergeCell ref="B4:C4"/>
    <mergeCell ref="D4:F4"/>
    <mergeCell ref="B5:C5"/>
    <mergeCell ref="D5:F5"/>
  </mergeCells>
  <hyperlinks>
    <hyperlink r:id="rId1" ref="D5"/>
    <hyperlink display="Passenger Ticket Booking" location="'Passenger Ticket Booking'!A1" ref="D9"/>
    <hyperlink display="Cargo Order Booking" location="'Cargo Order Booking'!A1" ref="D10"/>
  </hyperlinks>
  <printOptions/>
  <pageMargins bottom="1.1506944444444445" footer="0.0" header="0.0" left="0.7479166666666667" right="0.7479166666666667" top="0.9840277777777778"/>
  <pageSetup paperSize="9" orientation="landscape"/>
  <headerFooter>
    <oddFooter>&amp;L 02ae-BM/PM/HDCV/FSOFT v2/0&amp;CInternal use&amp;R&amp;P/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 outlineLevelCol="1" outlineLevelRow="1"/>
  <cols>
    <col customWidth="1" min="1" max="1" width="4.5"/>
    <col customWidth="1" min="2" max="2" width="18.38"/>
    <col customWidth="1" min="3" max="3" width="25.25"/>
    <col customWidth="1" min="4" max="6" width="11.63"/>
    <col customWidth="1" min="7" max="7" width="9.0"/>
    <col customWidth="1" min="8" max="8" width="35.5"/>
    <col customWidth="1" min="9" max="26" width="9.0"/>
  </cols>
  <sheetData>
    <row r="1" ht="25.5" customHeight="1">
      <c r="A1" s="1"/>
      <c r="B1" s="5" t="s">
        <v>0</v>
      </c>
      <c r="C1" s="7"/>
      <c r="D1" s="7"/>
      <c r="E1" s="7"/>
      <c r="F1" s="7"/>
      <c r="G1" s="7"/>
      <c r="H1" s="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2"/>
      <c r="B2" s="22"/>
      <c r="C2" s="1"/>
      <c r="D2" s="1"/>
      <c r="E2" s="1"/>
      <c r="F2" s="1"/>
      <c r="G2" s="1"/>
      <c r="H2" s="2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38" t="s">
        <v>4</v>
      </c>
      <c r="C3" s="42" t="str">
        <f>Cover!B4</f>
        <v>Ralsei Coach House System</v>
      </c>
      <c r="D3" s="26"/>
      <c r="E3" s="43" t="s">
        <v>13</v>
      </c>
      <c r="F3" s="26"/>
      <c r="G3" s="44"/>
      <c r="H3" s="47" t="str">
        <f>Cover!F4</f>
        <v>Doan Ngoc Duc, Le Thu Ha, Nguyen Minh Thanh, Phan Duc Trung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38" t="s">
        <v>9</v>
      </c>
      <c r="C4" s="42" t="str">
        <f>Cover!B5</f>
        <v>RCHS</v>
      </c>
      <c r="D4" s="26"/>
      <c r="E4" s="43" t="s">
        <v>25</v>
      </c>
      <c r="F4" s="26"/>
      <c r="G4" s="44"/>
      <c r="H4" s="6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0" customHeight="1">
      <c r="A5" s="1"/>
      <c r="B5" s="72" t="s">
        <v>21</v>
      </c>
      <c r="C5" s="42" t="str">
        <f>C4&amp;"_"&amp;"Test Report"&amp;"_"&amp;"vx.x"</f>
        <v>RCHS_Test Report_vx.x</v>
      </c>
      <c r="D5" s="26"/>
      <c r="E5" s="43" t="s">
        <v>18</v>
      </c>
      <c r="F5" s="26"/>
      <c r="G5" s="44"/>
      <c r="H5" s="85" t="str">
        <f>Cover!F5</f>
        <v>&lt;12/7/2026&gt;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22"/>
      <c r="B6" s="72" t="s">
        <v>50</v>
      </c>
      <c r="C6" s="42" t="s">
        <v>51</v>
      </c>
      <c r="D6" s="25"/>
      <c r="E6" s="25"/>
      <c r="F6" s="25"/>
      <c r="G6" s="25"/>
      <c r="H6" s="2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22"/>
      <c r="B7" s="98"/>
      <c r="C7" s="99"/>
      <c r="D7" s="1"/>
      <c r="E7" s="1"/>
      <c r="F7" s="1"/>
      <c r="G7" s="1"/>
      <c r="H7" s="28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98"/>
      <c r="C8" s="99"/>
      <c r="D8" s="1"/>
      <c r="E8" s="1"/>
      <c r="F8" s="1"/>
      <c r="G8" s="1"/>
      <c r="H8" s="28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03"/>
      <c r="B10" s="106" t="s">
        <v>27</v>
      </c>
      <c r="C10" s="71" t="s">
        <v>57</v>
      </c>
      <c r="D10" s="108" t="s">
        <v>6</v>
      </c>
      <c r="E10" s="71" t="s">
        <v>12</v>
      </c>
      <c r="F10" s="71" t="s">
        <v>20</v>
      </c>
      <c r="G10" s="110" t="s">
        <v>26</v>
      </c>
      <c r="H10" s="111" t="s">
        <v>61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03"/>
      <c r="B11" s="115">
        <v>1.0</v>
      </c>
      <c r="C11" s="117" t="s">
        <v>3</v>
      </c>
      <c r="D11" s="120">
        <f>'Passenger Ticket Booking'!B6</f>
        <v>23</v>
      </c>
      <c r="E11" s="120">
        <f>'Passenger Ticket Booking'!C6</f>
        <v>0</v>
      </c>
      <c r="F11" s="120">
        <f>'Passenger Ticket Booking'!D6</f>
        <v>0</v>
      </c>
      <c r="G11" s="120">
        <f>'Passenger Ticket Booking'!E6</f>
        <v>0</v>
      </c>
      <c r="H11" s="123">
        <f>'Passenger Ticket Booking'!B4</f>
        <v>31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03"/>
      <c r="B12" s="115">
        <v>2.0</v>
      </c>
      <c r="C12" s="117" t="s">
        <v>47</v>
      </c>
      <c r="D12" s="120">
        <f>'Cargo Order Booking'!B6</f>
        <v>32</v>
      </c>
      <c r="E12" s="120">
        <f>'Cargo Order Booking'!C6</f>
        <v>0</v>
      </c>
      <c r="F12" s="120">
        <f>'Cargo Order Booking'!D6</f>
        <v>0</v>
      </c>
      <c r="G12" s="120">
        <f>'Passenger Ticket Booking'!E6</f>
        <v>0</v>
      </c>
      <c r="H12" s="123">
        <f>'Cargo Order Booking'!B4</f>
        <v>39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03"/>
      <c r="B13" s="131"/>
      <c r="C13" s="132"/>
      <c r="D13" s="120"/>
      <c r="E13" s="120"/>
      <c r="F13" s="120"/>
      <c r="G13" s="133"/>
      <c r="H13" s="12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03"/>
      <c r="B14" s="131"/>
      <c r="C14" s="132"/>
      <c r="D14" s="120"/>
      <c r="E14" s="120"/>
      <c r="F14" s="120"/>
      <c r="G14" s="133"/>
      <c r="H14" s="12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03"/>
      <c r="B15" s="131"/>
      <c r="C15" s="132"/>
      <c r="D15" s="120"/>
      <c r="E15" s="120"/>
      <c r="F15" s="120"/>
      <c r="G15" s="133"/>
      <c r="H15" s="12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03"/>
      <c r="B16" s="131"/>
      <c r="C16" s="132"/>
      <c r="D16" s="120"/>
      <c r="E16" s="120"/>
      <c r="F16" s="120"/>
      <c r="G16" s="133"/>
      <c r="H16" s="12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03"/>
      <c r="B17" s="131"/>
      <c r="C17" s="132"/>
      <c r="D17" s="120"/>
      <c r="E17" s="120"/>
      <c r="F17" s="120"/>
      <c r="G17" s="133"/>
      <c r="H17" s="12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03"/>
      <c r="B18" s="131"/>
      <c r="C18" s="132"/>
      <c r="D18" s="120"/>
      <c r="E18" s="120"/>
      <c r="F18" s="120"/>
      <c r="G18" s="133"/>
      <c r="H18" s="12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03"/>
      <c r="B19" s="131"/>
      <c r="C19" s="132"/>
      <c r="D19" s="120"/>
      <c r="E19" s="120"/>
      <c r="F19" s="120"/>
      <c r="G19" s="133"/>
      <c r="H19" s="12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03"/>
      <c r="B20" s="131"/>
      <c r="C20" s="132"/>
      <c r="D20" s="120"/>
      <c r="E20" s="120"/>
      <c r="F20" s="120"/>
      <c r="G20" s="133"/>
      <c r="H20" s="12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03"/>
      <c r="B21" s="131"/>
      <c r="C21" s="132"/>
      <c r="D21" s="120"/>
      <c r="E21" s="120"/>
      <c r="F21" s="120"/>
      <c r="G21" s="133"/>
      <c r="H21" s="12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03"/>
      <c r="B22" s="131"/>
      <c r="C22" s="132"/>
      <c r="D22" s="120"/>
      <c r="E22" s="120"/>
      <c r="F22" s="120"/>
      <c r="G22" s="133"/>
      <c r="H22" s="12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03"/>
      <c r="B23" s="131"/>
      <c r="C23" s="132"/>
      <c r="D23" s="120"/>
      <c r="E23" s="120"/>
      <c r="F23" s="120"/>
      <c r="G23" s="133"/>
      <c r="H23" s="12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03"/>
      <c r="B24" s="131"/>
      <c r="C24" s="132"/>
      <c r="D24" s="120"/>
      <c r="E24" s="120"/>
      <c r="F24" s="120"/>
      <c r="G24" s="133"/>
      <c r="H24" s="12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03"/>
      <c r="B25" s="131"/>
      <c r="C25" s="132"/>
      <c r="D25" s="120"/>
      <c r="E25" s="120"/>
      <c r="F25" s="120"/>
      <c r="G25" s="133"/>
      <c r="H25" s="12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03"/>
      <c r="B26" s="131"/>
      <c r="C26" s="132"/>
      <c r="D26" s="120"/>
      <c r="E26" s="120"/>
      <c r="F26" s="120"/>
      <c r="G26" s="134"/>
      <c r="H26" s="12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03"/>
      <c r="B27" s="135"/>
      <c r="C27" s="136" t="s">
        <v>113</v>
      </c>
      <c r="D27" s="137">
        <f t="shared" ref="D27:H27" si="1">SUM(D9:D26)</f>
        <v>55</v>
      </c>
      <c r="E27" s="137">
        <f t="shared" si="1"/>
        <v>0</v>
      </c>
      <c r="F27" s="137">
        <f t="shared" si="1"/>
        <v>0</v>
      </c>
      <c r="G27" s="137">
        <f t="shared" si="1"/>
        <v>0</v>
      </c>
      <c r="H27" s="138">
        <f t="shared" si="1"/>
        <v>70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39"/>
      <c r="C28" s="1"/>
      <c r="D28" s="140"/>
      <c r="E28" s="141"/>
      <c r="F28" s="141"/>
      <c r="G28" s="141"/>
      <c r="H28" s="14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32" t="s">
        <v>124</v>
      </c>
      <c r="D29" s="1"/>
      <c r="E29" s="142">
        <f>(D27+E27)*100/(H27-G27)</f>
        <v>78.57142857</v>
      </c>
      <c r="F29" s="1" t="s">
        <v>130</v>
      </c>
      <c r="G29" s="1"/>
      <c r="H29" s="10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32" t="s">
        <v>132</v>
      </c>
      <c r="D30" s="1"/>
      <c r="E30" s="142">
        <f>D27*100/(H27-G27)</f>
        <v>78.57142857</v>
      </c>
      <c r="F30" s="1" t="s">
        <v>130</v>
      </c>
      <c r="G30" s="1"/>
      <c r="H30" s="10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2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2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2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2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2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2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2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2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2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2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rintOptions/>
  <pageMargins bottom="0.9840277777777777" footer="0.0" header="0.0" left="0.7479166666666667" right="0.7479166666666667" top="0.9840277777777778"/>
  <pageSetup orientation="landscape"/>
  <headerFooter>
    <oddFooter>&amp;L 02ae-BM/PM/HDCV/FSOFT v2/0&amp;CInternal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34.13"/>
    <col customWidth="1" min="4" max="4" width="34.63"/>
    <col customWidth="1" min="5" max="5" width="32.0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3" t="s">
        <v>2</v>
      </c>
      <c r="B2" s="14" t="s">
        <v>3</v>
      </c>
      <c r="C2" s="15"/>
      <c r="D2" s="15"/>
      <c r="E2" s="16"/>
      <c r="F2" s="17"/>
      <c r="G2" s="19"/>
      <c r="H2" s="21"/>
      <c r="I2" s="17"/>
      <c r="J2" s="19"/>
      <c r="K2" s="21"/>
      <c r="L2" s="17"/>
      <c r="M2" s="19"/>
      <c r="N2" s="21"/>
      <c r="O2" s="21"/>
      <c r="P2" s="21"/>
      <c r="Q2" s="29"/>
      <c r="R2" s="31" t="s">
        <v>6</v>
      </c>
      <c r="S2" s="31"/>
      <c r="T2" s="31"/>
      <c r="U2" s="31"/>
      <c r="V2" s="31"/>
      <c r="W2" s="31"/>
      <c r="X2" s="31"/>
      <c r="Y2" s="31"/>
      <c r="Z2" s="31"/>
    </row>
    <row r="3" ht="12.75" customHeight="1">
      <c r="A3" s="34" t="s">
        <v>7</v>
      </c>
      <c r="B3" s="35" t="s">
        <v>8</v>
      </c>
      <c r="C3" s="25"/>
      <c r="D3" s="25"/>
      <c r="E3" s="36"/>
      <c r="F3" s="17"/>
      <c r="G3" s="19"/>
      <c r="H3" s="21"/>
      <c r="I3" s="17"/>
      <c r="J3" s="19"/>
      <c r="K3" s="21"/>
      <c r="L3" s="17"/>
      <c r="M3" s="19"/>
      <c r="N3" s="21"/>
      <c r="O3" s="21"/>
      <c r="P3" s="21"/>
      <c r="Q3" s="29"/>
      <c r="R3" s="31" t="s">
        <v>12</v>
      </c>
      <c r="S3" s="31"/>
      <c r="T3" s="31"/>
      <c r="U3" s="31"/>
      <c r="V3" s="31"/>
      <c r="W3" s="31"/>
      <c r="X3" s="31"/>
      <c r="Y3" s="31"/>
      <c r="Z3" s="31"/>
    </row>
    <row r="4" ht="18.0" customHeight="1">
      <c r="A4" s="34" t="s">
        <v>16</v>
      </c>
      <c r="B4" s="35">
        <f>COUNTA(A11:A907)</f>
        <v>31</v>
      </c>
      <c r="C4" s="25"/>
      <c r="D4" s="25"/>
      <c r="E4" s="36"/>
      <c r="F4" s="17"/>
      <c r="G4" s="19"/>
      <c r="H4" s="21"/>
      <c r="I4" s="17"/>
      <c r="J4" s="19"/>
      <c r="K4" s="21"/>
      <c r="L4" s="17"/>
      <c r="M4" s="19"/>
      <c r="N4" s="21"/>
      <c r="O4" s="21"/>
      <c r="P4" s="21"/>
      <c r="Q4" s="29"/>
      <c r="R4" s="31" t="s">
        <v>20</v>
      </c>
      <c r="S4" s="31"/>
      <c r="T4" s="31"/>
      <c r="U4" s="31"/>
      <c r="V4" s="31"/>
      <c r="W4" s="31"/>
      <c r="X4" s="31"/>
      <c r="Y4" s="31"/>
      <c r="Z4" s="31"/>
    </row>
    <row r="5" ht="19.5" customHeight="1">
      <c r="A5" s="50" t="s">
        <v>22</v>
      </c>
      <c r="B5" s="52" t="s">
        <v>6</v>
      </c>
      <c r="C5" s="52" t="s">
        <v>12</v>
      </c>
      <c r="D5" s="52" t="s">
        <v>20</v>
      </c>
      <c r="E5" s="57" t="s">
        <v>26</v>
      </c>
      <c r="F5" s="59"/>
      <c r="G5" s="59"/>
      <c r="H5" s="61"/>
      <c r="I5" s="59"/>
      <c r="J5" s="59"/>
      <c r="K5" s="61"/>
      <c r="L5" s="59"/>
      <c r="M5" s="59"/>
      <c r="N5" s="61"/>
      <c r="O5" s="61"/>
      <c r="P5" s="61"/>
      <c r="Q5" s="66"/>
      <c r="R5" s="31" t="s">
        <v>26</v>
      </c>
      <c r="S5" s="31"/>
      <c r="T5" s="31"/>
      <c r="U5" s="31"/>
      <c r="V5" s="31"/>
      <c r="W5" s="31"/>
      <c r="X5" s="31"/>
      <c r="Y5" s="31"/>
      <c r="Z5" s="31"/>
    </row>
    <row r="6" ht="15.0" customHeight="1">
      <c r="A6" s="50" t="s">
        <v>34</v>
      </c>
      <c r="B6" s="75">
        <f t="shared" ref="B6:E6" si="1">COUNTIF($F10:$F975,B5)</f>
        <v>23</v>
      </c>
      <c r="C6" s="75">
        <f t="shared" si="1"/>
        <v>0</v>
      </c>
      <c r="D6" s="75">
        <f t="shared" si="1"/>
        <v>0</v>
      </c>
      <c r="E6" s="78">
        <f t="shared" si="1"/>
        <v>0</v>
      </c>
      <c r="F6" s="80"/>
      <c r="G6" s="80"/>
      <c r="H6" s="61"/>
      <c r="I6" s="80"/>
      <c r="J6" s="80"/>
      <c r="K6" s="61"/>
      <c r="L6" s="80"/>
      <c r="M6" s="80"/>
      <c r="N6" s="61"/>
      <c r="O6" s="61"/>
      <c r="P6" s="61"/>
      <c r="Q6" s="66"/>
      <c r="R6" s="31"/>
      <c r="S6" s="31"/>
      <c r="T6" s="31"/>
      <c r="U6" s="31"/>
      <c r="V6" s="31"/>
      <c r="W6" s="31"/>
      <c r="X6" s="31"/>
      <c r="Y6" s="31"/>
      <c r="Z6" s="31"/>
    </row>
    <row r="7" ht="15.0" customHeight="1">
      <c r="A7" s="50" t="s">
        <v>46</v>
      </c>
      <c r="B7" s="75">
        <f t="shared" ref="B7:D7" si="2">COUNTIF($I10:$I975,B5)</f>
        <v>23</v>
      </c>
      <c r="C7" s="75">
        <f t="shared" si="2"/>
        <v>0</v>
      </c>
      <c r="D7" s="75">
        <f t="shared" si="2"/>
        <v>0</v>
      </c>
      <c r="E7" s="78">
        <f>COUNTIF($F10:$F975,E5)</f>
        <v>0</v>
      </c>
      <c r="F7" s="80"/>
      <c r="G7" s="80"/>
      <c r="H7" s="61"/>
      <c r="I7" s="80"/>
      <c r="J7" s="80"/>
      <c r="K7" s="61"/>
      <c r="L7" s="80"/>
      <c r="M7" s="80"/>
      <c r="N7" s="61"/>
      <c r="O7" s="61"/>
      <c r="P7" s="61"/>
      <c r="Q7" s="66"/>
      <c r="R7" s="31"/>
      <c r="S7" s="31"/>
      <c r="T7" s="31"/>
      <c r="U7" s="31"/>
      <c r="V7" s="31"/>
      <c r="W7" s="31"/>
      <c r="X7" s="31"/>
      <c r="Y7" s="31"/>
      <c r="Z7" s="31"/>
    </row>
    <row r="8" ht="15.0" customHeight="1">
      <c r="A8" s="93" t="s">
        <v>52</v>
      </c>
      <c r="B8" s="97">
        <f t="shared" ref="B8:D8" si="3">COUNTIF($L10:$L975,B5)</f>
        <v>0</v>
      </c>
      <c r="C8" s="97">
        <f t="shared" si="3"/>
        <v>0</v>
      </c>
      <c r="D8" s="97">
        <f t="shared" si="3"/>
        <v>23</v>
      </c>
      <c r="E8" s="100">
        <f>COUNTIF($F10:$F975,E5)</f>
        <v>0</v>
      </c>
      <c r="F8" s="80"/>
      <c r="G8" s="80"/>
      <c r="H8" s="61"/>
      <c r="I8" s="80"/>
      <c r="J8" s="80"/>
      <c r="K8" s="61"/>
      <c r="L8" s="80"/>
      <c r="M8" s="80"/>
      <c r="N8" s="61"/>
      <c r="O8" s="61"/>
      <c r="P8" s="61"/>
      <c r="Q8" s="66"/>
      <c r="R8" s="31"/>
      <c r="S8" s="31"/>
      <c r="T8" s="31"/>
      <c r="U8" s="31"/>
      <c r="V8" s="31"/>
      <c r="W8" s="31"/>
      <c r="X8" s="31"/>
      <c r="Y8" s="31"/>
      <c r="Z8" s="31"/>
    </row>
    <row r="9" ht="15.0" customHeight="1">
      <c r="A9" s="61"/>
      <c r="B9" s="61"/>
      <c r="C9" s="61"/>
      <c r="D9" s="61"/>
      <c r="E9" s="61"/>
      <c r="F9" s="101"/>
      <c r="G9" s="61"/>
      <c r="H9" s="61"/>
      <c r="I9" s="101"/>
      <c r="J9" s="61"/>
      <c r="K9" s="61"/>
      <c r="L9" s="101"/>
      <c r="M9" s="61"/>
      <c r="N9" s="61"/>
      <c r="O9" s="61"/>
      <c r="P9" s="61"/>
      <c r="Q9" s="66"/>
      <c r="R9" s="31"/>
      <c r="S9" s="31"/>
      <c r="T9" s="31"/>
      <c r="U9" s="31"/>
      <c r="V9" s="31"/>
      <c r="W9" s="31"/>
      <c r="X9" s="31"/>
      <c r="Y9" s="31"/>
      <c r="Z9" s="31"/>
    </row>
    <row r="10" ht="25.5" customHeight="1">
      <c r="A10" s="102" t="s">
        <v>53</v>
      </c>
      <c r="B10" s="102" t="s">
        <v>54</v>
      </c>
      <c r="C10" s="102" t="s">
        <v>55</v>
      </c>
      <c r="D10" s="102" t="s">
        <v>56</v>
      </c>
      <c r="E10" s="102" t="s">
        <v>58</v>
      </c>
      <c r="F10" s="102" t="s">
        <v>34</v>
      </c>
      <c r="G10" s="102" t="s">
        <v>59</v>
      </c>
      <c r="H10" s="102" t="s">
        <v>60</v>
      </c>
      <c r="I10" s="102" t="s">
        <v>46</v>
      </c>
      <c r="J10" s="102" t="s">
        <v>59</v>
      </c>
      <c r="K10" s="102" t="s">
        <v>60</v>
      </c>
      <c r="L10" s="102" t="s">
        <v>52</v>
      </c>
      <c r="M10" s="102" t="s">
        <v>59</v>
      </c>
      <c r="N10" s="102" t="s">
        <v>60</v>
      </c>
      <c r="O10" s="102" t="s">
        <v>62</v>
      </c>
      <c r="P10" s="31"/>
      <c r="Q10" s="113"/>
      <c r="R10" s="31"/>
      <c r="S10" s="31"/>
      <c r="T10" s="31"/>
      <c r="U10" s="31"/>
      <c r="V10" s="31"/>
      <c r="W10" s="31"/>
      <c r="X10" s="31"/>
      <c r="Y10" s="31"/>
      <c r="Z10" s="31"/>
    </row>
    <row r="11" ht="15.75" customHeight="1">
      <c r="A11" s="114" t="s">
        <v>63</v>
      </c>
      <c r="B11" s="116"/>
      <c r="C11" s="118"/>
      <c r="D11" s="118"/>
      <c r="E11" s="118"/>
      <c r="F11" s="119"/>
      <c r="G11" s="119"/>
      <c r="H11" s="119"/>
      <c r="I11" s="119"/>
      <c r="J11" s="119"/>
      <c r="K11" s="119"/>
      <c r="L11" s="119"/>
      <c r="M11" s="119"/>
      <c r="N11" s="119"/>
      <c r="O11" s="121"/>
      <c r="P11" s="31"/>
      <c r="Q11" s="122"/>
      <c r="R11" s="31"/>
      <c r="S11" s="31"/>
      <c r="T11" s="31"/>
      <c r="U11" s="31"/>
      <c r="V11" s="31"/>
      <c r="W11" s="31"/>
      <c r="X11" s="31"/>
      <c r="Y11" s="31"/>
      <c r="Z11" s="31"/>
    </row>
    <row r="12" ht="12.75" customHeight="1" outlineLevel="1">
      <c r="A12" s="124" t="s">
        <v>64</v>
      </c>
      <c r="B12" s="124" t="s">
        <v>65</v>
      </c>
      <c r="C12" s="125" t="s">
        <v>66</v>
      </c>
      <c r="D12" s="124" t="s">
        <v>67</v>
      </c>
      <c r="E12" s="124" t="s">
        <v>68</v>
      </c>
      <c r="F12" s="126" t="s">
        <v>6</v>
      </c>
      <c r="G12" s="127">
        <v>46215.0</v>
      </c>
      <c r="H12" s="128" t="s">
        <v>69</v>
      </c>
      <c r="I12" s="128" t="s">
        <v>6</v>
      </c>
      <c r="J12" s="127">
        <v>46222.0</v>
      </c>
      <c r="K12" s="128" t="s">
        <v>70</v>
      </c>
      <c r="L12" s="129" t="s">
        <v>20</v>
      </c>
      <c r="M12" s="129"/>
      <c r="N12" s="129"/>
      <c r="O12" s="129"/>
      <c r="P12" s="1"/>
      <c r="Q12" s="130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24" t="s">
        <v>71</v>
      </c>
      <c r="B13" s="124" t="s">
        <v>72</v>
      </c>
      <c r="C13" s="124" t="s">
        <v>73</v>
      </c>
      <c r="D13" s="124" t="s">
        <v>74</v>
      </c>
      <c r="E13" s="124" t="s">
        <v>75</v>
      </c>
      <c r="F13" s="126" t="s">
        <v>6</v>
      </c>
      <c r="G13" s="127">
        <v>46215.0</v>
      </c>
      <c r="H13" s="128" t="s">
        <v>69</v>
      </c>
      <c r="I13" s="128" t="s">
        <v>6</v>
      </c>
      <c r="J13" s="127">
        <v>46222.0</v>
      </c>
      <c r="K13" s="128" t="s">
        <v>70</v>
      </c>
      <c r="L13" s="129" t="s">
        <v>20</v>
      </c>
      <c r="M13" s="129"/>
      <c r="N13" s="129"/>
      <c r="O13" s="129"/>
      <c r="P13" s="1"/>
      <c r="Q13" s="1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24" t="s">
        <v>76</v>
      </c>
      <c r="B14" s="124" t="s">
        <v>77</v>
      </c>
      <c r="C14" s="124" t="s">
        <v>78</v>
      </c>
      <c r="D14" s="125" t="s">
        <v>79</v>
      </c>
      <c r="E14" s="124" t="s">
        <v>26</v>
      </c>
      <c r="F14" s="126" t="s">
        <v>6</v>
      </c>
      <c r="G14" s="127">
        <v>46215.0</v>
      </c>
      <c r="H14" s="128" t="s">
        <v>69</v>
      </c>
      <c r="I14" s="128" t="s">
        <v>6</v>
      </c>
      <c r="J14" s="127">
        <v>46222.0</v>
      </c>
      <c r="K14" s="128" t="s">
        <v>70</v>
      </c>
      <c r="L14" s="129" t="s">
        <v>20</v>
      </c>
      <c r="M14" s="129"/>
      <c r="N14" s="129"/>
      <c r="O14" s="129"/>
      <c r="P14" s="1"/>
      <c r="Q14" s="1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24" t="s">
        <v>80</v>
      </c>
      <c r="B15" s="124" t="s">
        <v>81</v>
      </c>
      <c r="C15" s="124" t="s">
        <v>82</v>
      </c>
      <c r="D15" s="124" t="s">
        <v>83</v>
      </c>
      <c r="E15" s="124" t="s">
        <v>84</v>
      </c>
      <c r="F15" s="126" t="s">
        <v>6</v>
      </c>
      <c r="G15" s="127">
        <v>46215.0</v>
      </c>
      <c r="H15" s="128" t="s">
        <v>69</v>
      </c>
      <c r="I15" s="128" t="s">
        <v>6</v>
      </c>
      <c r="J15" s="127">
        <v>46222.0</v>
      </c>
      <c r="K15" s="128" t="s">
        <v>70</v>
      </c>
      <c r="L15" s="129" t="s">
        <v>20</v>
      </c>
      <c r="M15" s="129"/>
      <c r="N15" s="129"/>
      <c r="O15" s="129"/>
      <c r="P15" s="1"/>
      <c r="Q15" s="1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14" t="s">
        <v>85</v>
      </c>
      <c r="B16" s="116"/>
      <c r="C16" s="118"/>
      <c r="D16" s="118"/>
      <c r="E16" s="118"/>
      <c r="F16" s="119"/>
      <c r="G16" s="119"/>
      <c r="H16" s="119"/>
      <c r="I16" s="119"/>
      <c r="J16" s="119"/>
      <c r="K16" s="119"/>
      <c r="L16" s="119"/>
      <c r="M16" s="119"/>
      <c r="N16" s="119"/>
      <c r="O16" s="121"/>
      <c r="P16" s="31"/>
      <c r="Q16" s="122"/>
      <c r="R16" s="31"/>
      <c r="S16" s="31"/>
      <c r="T16" s="31"/>
      <c r="U16" s="31"/>
      <c r="V16" s="31"/>
      <c r="W16" s="31"/>
      <c r="X16" s="31"/>
      <c r="Y16" s="31"/>
      <c r="Z16" s="31"/>
    </row>
    <row r="17" ht="12.75" customHeight="1">
      <c r="A17" s="124" t="s">
        <v>86</v>
      </c>
      <c r="B17" s="124" t="s">
        <v>87</v>
      </c>
      <c r="C17" s="124" t="s">
        <v>88</v>
      </c>
      <c r="D17" s="125" t="s">
        <v>89</v>
      </c>
      <c r="E17" s="124" t="s">
        <v>90</v>
      </c>
      <c r="F17" s="126" t="s">
        <v>6</v>
      </c>
      <c r="G17" s="127">
        <v>46215.0</v>
      </c>
      <c r="H17" s="128" t="s">
        <v>69</v>
      </c>
      <c r="I17" s="128" t="s">
        <v>6</v>
      </c>
      <c r="J17" s="127">
        <v>46222.0</v>
      </c>
      <c r="K17" s="128" t="s">
        <v>70</v>
      </c>
      <c r="L17" s="129" t="s">
        <v>20</v>
      </c>
      <c r="M17" s="129"/>
      <c r="N17" s="129"/>
      <c r="O17" s="129"/>
      <c r="P17" s="1"/>
      <c r="Q17" s="1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24" t="s">
        <v>91</v>
      </c>
      <c r="B18" s="124" t="s">
        <v>92</v>
      </c>
      <c r="C18" s="124" t="s">
        <v>93</v>
      </c>
      <c r="D18" s="124" t="s">
        <v>94</v>
      </c>
      <c r="E18" s="124" t="s">
        <v>95</v>
      </c>
      <c r="F18" s="126" t="s">
        <v>6</v>
      </c>
      <c r="G18" s="127">
        <v>46215.0</v>
      </c>
      <c r="H18" s="128" t="s">
        <v>69</v>
      </c>
      <c r="I18" s="128" t="s">
        <v>6</v>
      </c>
      <c r="J18" s="127">
        <v>46222.0</v>
      </c>
      <c r="K18" s="128" t="s">
        <v>70</v>
      </c>
      <c r="L18" s="129" t="s">
        <v>20</v>
      </c>
      <c r="M18" s="129"/>
      <c r="N18" s="129"/>
      <c r="O18" s="129"/>
      <c r="P18" s="1"/>
      <c r="Q18" s="1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14" t="s">
        <v>96</v>
      </c>
      <c r="B19" s="116"/>
      <c r="C19" s="118"/>
      <c r="D19" s="118"/>
      <c r="E19" s="118"/>
      <c r="F19" s="119"/>
      <c r="G19" s="119"/>
      <c r="H19" s="119"/>
      <c r="I19" s="119"/>
      <c r="J19" s="119"/>
      <c r="K19" s="119"/>
      <c r="L19" s="119"/>
      <c r="M19" s="119"/>
      <c r="N19" s="119"/>
      <c r="O19" s="121"/>
      <c r="P19" s="31"/>
      <c r="Q19" s="122"/>
      <c r="R19" s="31"/>
      <c r="S19" s="31"/>
      <c r="T19" s="31"/>
      <c r="U19" s="31"/>
      <c r="V19" s="31"/>
      <c r="W19" s="31"/>
      <c r="X19" s="31"/>
      <c r="Y19" s="31"/>
      <c r="Z19" s="31"/>
    </row>
    <row r="20" ht="12.75" customHeight="1">
      <c r="A20" s="124" t="s">
        <v>97</v>
      </c>
      <c r="B20" s="124" t="s">
        <v>98</v>
      </c>
      <c r="C20" s="124" t="s">
        <v>99</v>
      </c>
      <c r="D20" s="124" t="s">
        <v>100</v>
      </c>
      <c r="E20" s="124" t="s">
        <v>101</v>
      </c>
      <c r="F20" s="126" t="s">
        <v>6</v>
      </c>
      <c r="G20" s="127">
        <v>46215.0</v>
      </c>
      <c r="H20" s="128" t="s">
        <v>69</v>
      </c>
      <c r="I20" s="128" t="s">
        <v>6</v>
      </c>
      <c r="J20" s="127">
        <v>46222.0</v>
      </c>
      <c r="K20" s="128" t="s">
        <v>70</v>
      </c>
      <c r="L20" s="129" t="s">
        <v>20</v>
      </c>
      <c r="M20" s="129"/>
      <c r="N20" s="129"/>
      <c r="O20" s="129"/>
      <c r="P20" s="1"/>
      <c r="Q20" s="1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24" t="s">
        <v>102</v>
      </c>
      <c r="B21" s="124" t="s">
        <v>103</v>
      </c>
      <c r="C21" s="124" t="s">
        <v>104</v>
      </c>
      <c r="D21" s="124" t="s">
        <v>105</v>
      </c>
      <c r="E21" s="124" t="s">
        <v>106</v>
      </c>
      <c r="F21" s="126" t="s">
        <v>6</v>
      </c>
      <c r="G21" s="127">
        <v>46215.0</v>
      </c>
      <c r="H21" s="128" t="s">
        <v>69</v>
      </c>
      <c r="I21" s="128" t="s">
        <v>6</v>
      </c>
      <c r="J21" s="127">
        <v>46222.0</v>
      </c>
      <c r="K21" s="128" t="s">
        <v>70</v>
      </c>
      <c r="L21" s="129" t="s">
        <v>20</v>
      </c>
      <c r="M21" s="129"/>
      <c r="N21" s="129"/>
      <c r="O21" s="129"/>
      <c r="P21" s="1"/>
      <c r="Q21" s="1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24" t="s">
        <v>107</v>
      </c>
      <c r="B22" s="124" t="s">
        <v>108</v>
      </c>
      <c r="C22" s="124" t="s">
        <v>109</v>
      </c>
      <c r="D22" s="124" t="s">
        <v>110</v>
      </c>
      <c r="E22" s="124" t="s">
        <v>111</v>
      </c>
      <c r="F22" s="126" t="s">
        <v>6</v>
      </c>
      <c r="G22" s="127">
        <v>46215.0</v>
      </c>
      <c r="H22" s="128" t="s">
        <v>69</v>
      </c>
      <c r="I22" s="128" t="s">
        <v>6</v>
      </c>
      <c r="J22" s="127">
        <v>46222.0</v>
      </c>
      <c r="K22" s="128" t="s">
        <v>70</v>
      </c>
      <c r="L22" s="129" t="s">
        <v>20</v>
      </c>
      <c r="M22" s="129"/>
      <c r="N22" s="129"/>
      <c r="O22" s="129"/>
      <c r="P22" s="1"/>
      <c r="Q22" s="1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14" t="s">
        <v>112</v>
      </c>
      <c r="B23" s="116"/>
      <c r="C23" s="118"/>
      <c r="D23" s="118"/>
      <c r="E23" s="118"/>
      <c r="F23" s="119"/>
      <c r="G23" s="119"/>
      <c r="H23" s="119"/>
      <c r="I23" s="119"/>
      <c r="J23" s="119"/>
      <c r="K23" s="119"/>
      <c r="L23" s="119"/>
      <c r="M23" s="119"/>
      <c r="N23" s="119"/>
      <c r="O23" s="121"/>
      <c r="P23" s="31"/>
      <c r="Q23" s="122"/>
      <c r="R23" s="31"/>
      <c r="S23" s="31"/>
      <c r="T23" s="31"/>
      <c r="U23" s="31"/>
      <c r="V23" s="31"/>
      <c r="W23" s="31"/>
      <c r="X23" s="31"/>
      <c r="Y23" s="31"/>
      <c r="Z23" s="31"/>
    </row>
    <row r="24" ht="12.75" customHeight="1">
      <c r="A24" s="124" t="s">
        <v>114</v>
      </c>
      <c r="B24" s="124" t="s">
        <v>115</v>
      </c>
      <c r="C24" s="124" t="s">
        <v>116</v>
      </c>
      <c r="D24" s="124" t="s">
        <v>117</v>
      </c>
      <c r="E24" s="124" t="s">
        <v>118</v>
      </c>
      <c r="F24" s="126" t="s">
        <v>6</v>
      </c>
      <c r="G24" s="127">
        <v>46215.0</v>
      </c>
      <c r="H24" s="128" t="s">
        <v>69</v>
      </c>
      <c r="I24" s="128" t="s">
        <v>6</v>
      </c>
      <c r="J24" s="127">
        <v>46222.0</v>
      </c>
      <c r="K24" s="128" t="s">
        <v>70</v>
      </c>
      <c r="L24" s="129" t="s">
        <v>20</v>
      </c>
      <c r="M24" s="129"/>
      <c r="N24" s="129"/>
      <c r="O24" s="129"/>
      <c r="P24" s="1"/>
      <c r="Q24" s="1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25" t="s">
        <v>119</v>
      </c>
      <c r="B25" s="124" t="s">
        <v>120</v>
      </c>
      <c r="C25" s="124" t="s">
        <v>121</v>
      </c>
      <c r="D25" s="124" t="s">
        <v>122</v>
      </c>
      <c r="E25" s="124" t="s">
        <v>123</v>
      </c>
      <c r="F25" s="126" t="s">
        <v>6</v>
      </c>
      <c r="G25" s="127">
        <v>46215.0</v>
      </c>
      <c r="H25" s="128" t="s">
        <v>69</v>
      </c>
      <c r="I25" s="128" t="s">
        <v>6</v>
      </c>
      <c r="J25" s="127">
        <v>46222.0</v>
      </c>
      <c r="K25" s="128" t="s">
        <v>70</v>
      </c>
      <c r="L25" s="129" t="s">
        <v>20</v>
      </c>
      <c r="M25" s="129"/>
      <c r="N25" s="129"/>
      <c r="O25" s="129"/>
      <c r="P25" s="1"/>
      <c r="Q25" s="1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25" t="s">
        <v>125</v>
      </c>
      <c r="B26" s="124" t="s">
        <v>126</v>
      </c>
      <c r="C26" s="124" t="s">
        <v>127</v>
      </c>
      <c r="D26" s="124" t="s">
        <v>128</v>
      </c>
      <c r="E26" s="124" t="s">
        <v>129</v>
      </c>
      <c r="F26" s="126" t="s">
        <v>6</v>
      </c>
      <c r="G26" s="127">
        <v>46215.0</v>
      </c>
      <c r="H26" s="128" t="s">
        <v>69</v>
      </c>
      <c r="I26" s="128" t="s">
        <v>6</v>
      </c>
      <c r="J26" s="127">
        <v>46222.0</v>
      </c>
      <c r="K26" s="128" t="s">
        <v>70</v>
      </c>
      <c r="L26" s="129" t="s">
        <v>20</v>
      </c>
      <c r="M26" s="129"/>
      <c r="N26" s="129"/>
      <c r="O26" s="129"/>
      <c r="P26" s="1"/>
      <c r="Q26" s="1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14" t="s">
        <v>131</v>
      </c>
      <c r="B27" s="116"/>
      <c r="C27" s="118"/>
      <c r="D27" s="118"/>
      <c r="E27" s="118"/>
      <c r="F27" s="119"/>
      <c r="G27" s="119"/>
      <c r="H27" s="119"/>
      <c r="I27" s="119"/>
      <c r="J27" s="119"/>
      <c r="K27" s="119"/>
      <c r="L27" s="119"/>
      <c r="M27" s="119"/>
      <c r="N27" s="119"/>
      <c r="O27" s="121"/>
      <c r="P27" s="31"/>
      <c r="Q27" s="122"/>
      <c r="R27" s="31"/>
      <c r="S27" s="31"/>
      <c r="T27" s="31"/>
      <c r="U27" s="31"/>
      <c r="V27" s="31"/>
      <c r="W27" s="31"/>
      <c r="X27" s="31"/>
      <c r="Y27" s="31"/>
      <c r="Z27" s="31"/>
    </row>
    <row r="28" ht="12.75" customHeight="1">
      <c r="A28" s="124" t="s">
        <v>133</v>
      </c>
      <c r="B28" s="124" t="s">
        <v>134</v>
      </c>
      <c r="C28" s="124" t="s">
        <v>135</v>
      </c>
      <c r="D28" s="124" t="s">
        <v>136</v>
      </c>
      <c r="E28" s="124" t="s">
        <v>137</v>
      </c>
      <c r="F28" s="126" t="s">
        <v>6</v>
      </c>
      <c r="G28" s="127">
        <v>46215.0</v>
      </c>
      <c r="H28" s="128" t="s">
        <v>69</v>
      </c>
      <c r="I28" s="128" t="s">
        <v>6</v>
      </c>
      <c r="J28" s="127">
        <v>46222.0</v>
      </c>
      <c r="K28" s="128" t="s">
        <v>70</v>
      </c>
      <c r="L28" s="129" t="s">
        <v>20</v>
      </c>
      <c r="M28" s="129"/>
      <c r="N28" s="129"/>
      <c r="O28" s="129"/>
      <c r="P28" s="1"/>
      <c r="Q28" s="1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24" t="s">
        <v>138</v>
      </c>
      <c r="B29" s="124" t="s">
        <v>139</v>
      </c>
      <c r="C29" s="124" t="s">
        <v>140</v>
      </c>
      <c r="D29" s="124" t="s">
        <v>141</v>
      </c>
      <c r="E29" s="124" t="s">
        <v>142</v>
      </c>
      <c r="F29" s="126" t="s">
        <v>6</v>
      </c>
      <c r="G29" s="127">
        <v>46215.0</v>
      </c>
      <c r="H29" s="128" t="s">
        <v>69</v>
      </c>
      <c r="I29" s="128" t="s">
        <v>6</v>
      </c>
      <c r="J29" s="127">
        <v>46222.0</v>
      </c>
      <c r="K29" s="128" t="s">
        <v>70</v>
      </c>
      <c r="L29" s="129" t="s">
        <v>20</v>
      </c>
      <c r="M29" s="129"/>
      <c r="N29" s="129"/>
      <c r="O29" s="129"/>
      <c r="P29" s="1"/>
      <c r="Q29" s="1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24" t="s">
        <v>143</v>
      </c>
      <c r="B30" s="124" t="s">
        <v>144</v>
      </c>
      <c r="C30" s="124" t="s">
        <v>145</v>
      </c>
      <c r="D30" s="124" t="s">
        <v>146</v>
      </c>
      <c r="E30" s="124" t="s">
        <v>147</v>
      </c>
      <c r="F30" s="126" t="s">
        <v>6</v>
      </c>
      <c r="G30" s="127">
        <v>46215.0</v>
      </c>
      <c r="H30" s="128" t="s">
        <v>69</v>
      </c>
      <c r="I30" s="128" t="s">
        <v>6</v>
      </c>
      <c r="J30" s="127">
        <v>46222.0</v>
      </c>
      <c r="K30" s="128" t="s">
        <v>70</v>
      </c>
      <c r="L30" s="129" t="s">
        <v>20</v>
      </c>
      <c r="M30" s="129"/>
      <c r="N30" s="129"/>
      <c r="O30" s="129"/>
      <c r="P30" s="1"/>
      <c r="Q30" s="1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14" t="s">
        <v>148</v>
      </c>
      <c r="B31" s="116"/>
      <c r="C31" s="118"/>
      <c r="D31" s="118"/>
      <c r="E31" s="118"/>
      <c r="F31" s="119"/>
      <c r="G31" s="119"/>
      <c r="H31" s="119"/>
      <c r="I31" s="119"/>
      <c r="J31" s="119"/>
      <c r="K31" s="119"/>
      <c r="L31" s="119"/>
      <c r="M31" s="119"/>
      <c r="N31" s="119"/>
      <c r="O31" s="121"/>
      <c r="P31" s="31"/>
      <c r="Q31" s="122"/>
      <c r="R31" s="31"/>
      <c r="S31" s="31"/>
      <c r="T31" s="31"/>
      <c r="U31" s="31"/>
      <c r="V31" s="31"/>
      <c r="W31" s="31"/>
      <c r="X31" s="31"/>
      <c r="Y31" s="31"/>
      <c r="Z31" s="31"/>
    </row>
    <row r="32" ht="12.75" customHeight="1">
      <c r="A32" s="124" t="s">
        <v>149</v>
      </c>
      <c r="B32" s="124" t="s">
        <v>150</v>
      </c>
      <c r="C32" s="124" t="s">
        <v>151</v>
      </c>
      <c r="D32" s="124" t="s">
        <v>152</v>
      </c>
      <c r="E32" s="124" t="s">
        <v>153</v>
      </c>
      <c r="F32" s="126" t="s">
        <v>6</v>
      </c>
      <c r="G32" s="127">
        <v>46215.0</v>
      </c>
      <c r="H32" s="128" t="s">
        <v>69</v>
      </c>
      <c r="I32" s="126" t="s">
        <v>6</v>
      </c>
      <c r="J32" s="127">
        <v>46222.0</v>
      </c>
      <c r="K32" s="128" t="s">
        <v>70</v>
      </c>
      <c r="L32" s="129" t="s">
        <v>20</v>
      </c>
      <c r="M32" s="129"/>
      <c r="N32" s="129"/>
      <c r="O32" s="129"/>
      <c r="P32" s="1"/>
      <c r="Q32" s="1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24" t="s">
        <v>154</v>
      </c>
      <c r="B33" s="124" t="s">
        <v>155</v>
      </c>
      <c r="C33" s="124" t="s">
        <v>156</v>
      </c>
      <c r="D33" s="124" t="s">
        <v>157</v>
      </c>
      <c r="E33" s="124" t="s">
        <v>158</v>
      </c>
      <c r="F33" s="126" t="s">
        <v>6</v>
      </c>
      <c r="G33" s="127">
        <v>46215.0</v>
      </c>
      <c r="H33" s="128" t="s">
        <v>69</v>
      </c>
      <c r="I33" s="126" t="s">
        <v>6</v>
      </c>
      <c r="J33" s="127">
        <v>46222.0</v>
      </c>
      <c r="K33" s="128" t="s">
        <v>70</v>
      </c>
      <c r="L33" s="129" t="s">
        <v>20</v>
      </c>
      <c r="M33" s="129"/>
      <c r="N33" s="129"/>
      <c r="O33" s="129"/>
      <c r="P33" s="1"/>
      <c r="Q33" s="1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14" t="s">
        <v>159</v>
      </c>
      <c r="B34" s="116"/>
      <c r="C34" s="118"/>
      <c r="D34" s="118"/>
      <c r="E34" s="118"/>
      <c r="F34" s="119"/>
      <c r="G34" s="119"/>
      <c r="H34" s="119"/>
      <c r="I34" s="119"/>
      <c r="J34" s="119"/>
      <c r="K34" s="119"/>
      <c r="L34" s="119"/>
      <c r="M34" s="119"/>
      <c r="N34" s="119"/>
      <c r="O34" s="121"/>
      <c r="P34" s="31"/>
      <c r="Q34" s="122"/>
      <c r="R34" s="31"/>
      <c r="S34" s="31"/>
      <c r="T34" s="31"/>
      <c r="U34" s="31"/>
      <c r="V34" s="31"/>
      <c r="W34" s="31"/>
      <c r="X34" s="31"/>
      <c r="Y34" s="31"/>
      <c r="Z34" s="31"/>
    </row>
    <row r="35" ht="12.75" customHeight="1">
      <c r="A35" s="124" t="s">
        <v>160</v>
      </c>
      <c r="B35" s="124" t="s">
        <v>161</v>
      </c>
      <c r="C35" s="124" t="s">
        <v>162</v>
      </c>
      <c r="D35" s="124" t="s">
        <v>163</v>
      </c>
      <c r="E35" s="124" t="s">
        <v>164</v>
      </c>
      <c r="F35" s="126" t="s">
        <v>6</v>
      </c>
      <c r="G35" s="127">
        <v>46215.0</v>
      </c>
      <c r="H35" s="128" t="s">
        <v>69</v>
      </c>
      <c r="I35" s="126" t="s">
        <v>6</v>
      </c>
      <c r="J35" s="127">
        <v>46222.0</v>
      </c>
      <c r="K35" s="128" t="s">
        <v>70</v>
      </c>
      <c r="L35" s="129" t="s">
        <v>20</v>
      </c>
      <c r="M35" s="129"/>
      <c r="N35" s="129"/>
      <c r="O35" s="129"/>
      <c r="P35" s="1"/>
      <c r="Q35" s="1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24" t="s">
        <v>165</v>
      </c>
      <c r="B36" s="124" t="s">
        <v>166</v>
      </c>
      <c r="C36" s="124" t="s">
        <v>167</v>
      </c>
      <c r="D36" s="124" t="s">
        <v>168</v>
      </c>
      <c r="E36" s="124" t="s">
        <v>169</v>
      </c>
      <c r="F36" s="126" t="s">
        <v>6</v>
      </c>
      <c r="G36" s="127">
        <v>46215.0</v>
      </c>
      <c r="H36" s="128" t="s">
        <v>69</v>
      </c>
      <c r="I36" s="126" t="s">
        <v>6</v>
      </c>
      <c r="J36" s="127">
        <v>46222.0</v>
      </c>
      <c r="K36" s="128" t="s">
        <v>70</v>
      </c>
      <c r="L36" s="129" t="s">
        <v>20</v>
      </c>
      <c r="M36" s="129"/>
      <c r="N36" s="129"/>
      <c r="O36" s="129"/>
      <c r="P36" s="1"/>
      <c r="Q36" s="1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14" t="s">
        <v>170</v>
      </c>
      <c r="B37" s="116"/>
      <c r="C37" s="118"/>
      <c r="D37" s="118"/>
      <c r="E37" s="118"/>
      <c r="F37" s="119"/>
      <c r="G37" s="119"/>
      <c r="H37" s="119"/>
      <c r="I37" s="119"/>
      <c r="J37" s="119"/>
      <c r="K37" s="119"/>
      <c r="L37" s="119"/>
      <c r="M37" s="119"/>
      <c r="N37" s="119"/>
      <c r="O37" s="121"/>
      <c r="P37" s="31"/>
      <c r="Q37" s="122"/>
      <c r="R37" s="31"/>
      <c r="S37" s="31"/>
      <c r="T37" s="31"/>
      <c r="U37" s="31"/>
      <c r="V37" s="31"/>
      <c r="W37" s="31"/>
      <c r="X37" s="31"/>
      <c r="Y37" s="31"/>
      <c r="Z37" s="31"/>
    </row>
    <row r="38" ht="12.75" customHeight="1">
      <c r="A38" s="124" t="s">
        <v>171</v>
      </c>
      <c r="B38" s="124" t="s">
        <v>172</v>
      </c>
      <c r="C38" s="125" t="s">
        <v>173</v>
      </c>
      <c r="D38" s="124" t="s">
        <v>174</v>
      </c>
      <c r="E38" s="124" t="s">
        <v>175</v>
      </c>
      <c r="F38" s="126" t="s">
        <v>6</v>
      </c>
      <c r="G38" s="127">
        <v>46215.0</v>
      </c>
      <c r="H38" s="128" t="s">
        <v>69</v>
      </c>
      <c r="I38" s="126" t="s">
        <v>6</v>
      </c>
      <c r="J38" s="127">
        <v>46222.0</v>
      </c>
      <c r="K38" s="128" t="s">
        <v>70</v>
      </c>
      <c r="L38" s="129" t="s">
        <v>20</v>
      </c>
      <c r="M38" s="129"/>
      <c r="N38" s="129"/>
      <c r="O38" s="129"/>
      <c r="P38" s="1"/>
      <c r="Q38" s="1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24" t="s">
        <v>176</v>
      </c>
      <c r="B39" s="124" t="s">
        <v>177</v>
      </c>
      <c r="C39" s="124" t="s">
        <v>178</v>
      </c>
      <c r="D39" s="124" t="s">
        <v>179</v>
      </c>
      <c r="E39" s="124" t="s">
        <v>180</v>
      </c>
      <c r="F39" s="126" t="s">
        <v>6</v>
      </c>
      <c r="G39" s="127">
        <v>46215.0</v>
      </c>
      <c r="H39" s="128" t="s">
        <v>69</v>
      </c>
      <c r="I39" s="126" t="s">
        <v>6</v>
      </c>
      <c r="J39" s="127">
        <v>46222.0</v>
      </c>
      <c r="K39" s="128" t="s">
        <v>70</v>
      </c>
      <c r="L39" s="129" t="s">
        <v>20</v>
      </c>
      <c r="M39" s="129"/>
      <c r="N39" s="129"/>
      <c r="O39" s="129"/>
      <c r="P39" s="1"/>
      <c r="Q39" s="1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24" t="s">
        <v>181</v>
      </c>
      <c r="B40" s="124" t="s">
        <v>182</v>
      </c>
      <c r="C40" s="124" t="s">
        <v>183</v>
      </c>
      <c r="D40" s="124" t="s">
        <v>184</v>
      </c>
      <c r="E40" s="124" t="s">
        <v>185</v>
      </c>
      <c r="F40" s="126" t="s">
        <v>6</v>
      </c>
      <c r="G40" s="127">
        <v>46215.0</v>
      </c>
      <c r="H40" s="128" t="s">
        <v>69</v>
      </c>
      <c r="I40" s="126" t="s">
        <v>6</v>
      </c>
      <c r="J40" s="127">
        <v>46222.0</v>
      </c>
      <c r="K40" s="128" t="s">
        <v>70</v>
      </c>
      <c r="L40" s="129" t="s">
        <v>20</v>
      </c>
      <c r="M40" s="129"/>
      <c r="N40" s="129"/>
      <c r="O40" s="129"/>
      <c r="P40" s="1"/>
      <c r="Q40" s="1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24" t="s">
        <v>186</v>
      </c>
      <c r="B41" s="124" t="s">
        <v>187</v>
      </c>
      <c r="C41" s="124" t="s">
        <v>188</v>
      </c>
      <c r="D41" s="124" t="s">
        <v>189</v>
      </c>
      <c r="E41" s="124" t="s">
        <v>190</v>
      </c>
      <c r="F41" s="128" t="s">
        <v>6</v>
      </c>
      <c r="G41" s="127">
        <v>46215.0</v>
      </c>
      <c r="H41" s="128" t="s">
        <v>69</v>
      </c>
      <c r="I41" s="126" t="s">
        <v>6</v>
      </c>
      <c r="J41" s="127">
        <v>46222.0</v>
      </c>
      <c r="K41" s="128" t="s">
        <v>70</v>
      </c>
      <c r="L41" s="129" t="s">
        <v>20</v>
      </c>
      <c r="M41" s="129"/>
      <c r="N41" s="129"/>
      <c r="O41" s="129"/>
      <c r="P41" s="144"/>
      <c r="Q41" s="1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45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7"/>
      <c r="Q42" s="148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45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7"/>
      <c r="Q43" s="148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45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7"/>
      <c r="Q44" s="148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45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7"/>
      <c r="Q45" s="148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45"/>
      <c r="F46" s="146"/>
      <c r="G46" s="146"/>
      <c r="H46" s="146"/>
      <c r="I46" s="146"/>
      <c r="J46" s="146"/>
      <c r="K46" s="146"/>
      <c r="L46" s="146"/>
      <c r="M46" s="146"/>
      <c r="N46" s="146"/>
      <c r="O46" s="146"/>
      <c r="P46" s="147"/>
      <c r="Q46" s="148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45"/>
      <c r="F47" s="146"/>
      <c r="G47" s="146"/>
      <c r="H47" s="146"/>
      <c r="I47" s="146"/>
      <c r="J47" s="146"/>
      <c r="K47" s="146"/>
      <c r="L47" s="146"/>
      <c r="M47" s="146"/>
      <c r="N47" s="146"/>
      <c r="O47" s="146"/>
      <c r="P47" s="147"/>
      <c r="Q47" s="148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45"/>
      <c r="F48" s="146"/>
      <c r="G48" s="146"/>
      <c r="H48" s="146"/>
      <c r="I48" s="146"/>
      <c r="J48" s="146"/>
      <c r="K48" s="146"/>
      <c r="L48" s="146"/>
      <c r="M48" s="146"/>
      <c r="N48" s="146"/>
      <c r="O48" s="146"/>
      <c r="P48" s="147"/>
      <c r="Q48" s="148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45"/>
      <c r="F49" s="146"/>
      <c r="G49" s="146"/>
      <c r="H49" s="146"/>
      <c r="I49" s="146"/>
      <c r="J49" s="146"/>
      <c r="K49" s="146"/>
      <c r="L49" s="146"/>
      <c r="M49" s="146"/>
      <c r="N49" s="146"/>
      <c r="O49" s="146"/>
      <c r="P49" s="147"/>
      <c r="Q49" s="148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45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7"/>
      <c r="Q50" s="148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45"/>
      <c r="F51" s="146"/>
      <c r="G51" s="146"/>
      <c r="H51" s="146"/>
      <c r="I51" s="146"/>
      <c r="J51" s="146"/>
      <c r="K51" s="146"/>
      <c r="L51" s="146"/>
      <c r="M51" s="146"/>
      <c r="N51" s="146"/>
      <c r="O51" s="146"/>
      <c r="P51" s="147"/>
      <c r="Q51" s="148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45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7"/>
      <c r="Q52" s="148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45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7"/>
      <c r="Q53" s="148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45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7"/>
      <c r="Q54" s="148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45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8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45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8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45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8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45"/>
      <c r="F58" s="147"/>
      <c r="G58" s="147"/>
      <c r="H58" s="147"/>
      <c r="I58" s="147"/>
      <c r="J58" s="147"/>
      <c r="K58" s="147"/>
      <c r="L58" s="147"/>
      <c r="M58" s="147"/>
      <c r="N58" s="147"/>
      <c r="O58" s="147"/>
      <c r="P58" s="147"/>
      <c r="Q58" s="148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  <c r="Q59" s="1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1"/>
      <c r="R956" s="1"/>
      <c r="S956" s="1"/>
      <c r="T956" s="1"/>
      <c r="U956" s="1"/>
      <c r="V956" s="1"/>
      <c r="W956" s="1"/>
      <c r="X956" s="1"/>
      <c r="Y956" s="1"/>
      <c r="Z956" s="1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1:F54 I11:I54 L11:L54 G55:G124 J55:J124 M55:M124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 outlineLevelCol="1" outlineLevelRow="1"/>
  <cols>
    <col customWidth="1" min="1" max="1" width="17.0"/>
    <col customWidth="1" min="2" max="2" width="34.5"/>
    <col customWidth="1" min="3" max="3" width="41.25"/>
    <col customWidth="1" min="4" max="4" width="34.63"/>
    <col customWidth="1" min="5" max="5" width="32.0"/>
    <col customWidth="1" min="6" max="6" width="9.38"/>
    <col customWidth="1" min="7" max="7" width="10.63" outlineLevel="1"/>
    <col customWidth="1" min="8" max="8" width="7.0" outlineLevel="1"/>
    <col customWidth="1" min="9" max="9" width="9.38"/>
    <col customWidth="1" min="10" max="10" width="10.63" outlineLevel="1"/>
    <col customWidth="1" min="11" max="11" width="7.0" outlineLevel="1"/>
    <col customWidth="1" min="12" max="12" width="9.38"/>
    <col customWidth="1" min="13" max="13" width="10.63" outlineLevel="1"/>
    <col customWidth="1" min="14" max="14" width="7.0" outlineLevel="1"/>
    <col customWidth="1" min="15" max="15" width="28.63"/>
    <col customWidth="1" min="16" max="16" width="10.13"/>
    <col customWidth="1" min="17" max="17" width="8.13"/>
    <col customWidth="1" hidden="1" min="18" max="18" width="7.63"/>
    <col customWidth="1" min="19" max="26" width="9.0"/>
  </cols>
  <sheetData>
    <row r="1" ht="12.75" customHeight="1">
      <c r="A1" s="1"/>
      <c r="B1" s="150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13" t="s">
        <v>2</v>
      </c>
      <c r="B2" s="14" t="s">
        <v>191</v>
      </c>
      <c r="C2" s="15"/>
      <c r="D2" s="15"/>
      <c r="E2" s="16"/>
      <c r="F2" s="17"/>
      <c r="G2" s="19"/>
      <c r="H2" s="21"/>
      <c r="I2" s="17"/>
      <c r="J2" s="19"/>
      <c r="K2" s="21"/>
      <c r="L2" s="17"/>
      <c r="M2" s="19"/>
      <c r="N2" s="21"/>
      <c r="O2" s="21"/>
      <c r="P2" s="21"/>
      <c r="Q2" s="29"/>
      <c r="R2" s="31" t="s">
        <v>6</v>
      </c>
      <c r="S2" s="31"/>
      <c r="T2" s="31"/>
      <c r="U2" s="31"/>
      <c r="V2" s="31"/>
      <c r="W2" s="31"/>
      <c r="X2" s="31"/>
      <c r="Y2" s="31"/>
      <c r="Z2" s="31"/>
    </row>
    <row r="3" ht="12.75" customHeight="1">
      <c r="A3" s="34" t="s">
        <v>7</v>
      </c>
      <c r="B3" s="35" t="s">
        <v>8</v>
      </c>
      <c r="C3" s="25"/>
      <c r="D3" s="25"/>
      <c r="E3" s="36"/>
      <c r="F3" s="17"/>
      <c r="G3" s="19"/>
      <c r="H3" s="21"/>
      <c r="I3" s="17"/>
      <c r="J3" s="19"/>
      <c r="K3" s="21"/>
      <c r="L3" s="17"/>
      <c r="M3" s="19"/>
      <c r="N3" s="21"/>
      <c r="O3" s="21"/>
      <c r="P3" s="21"/>
      <c r="Q3" s="29"/>
      <c r="R3" s="31" t="s">
        <v>12</v>
      </c>
      <c r="S3" s="31"/>
      <c r="T3" s="31"/>
      <c r="U3" s="31"/>
      <c r="V3" s="31"/>
      <c r="W3" s="31"/>
      <c r="X3" s="31"/>
      <c r="Y3" s="31"/>
      <c r="Z3" s="31"/>
    </row>
    <row r="4" ht="18.0" customHeight="1">
      <c r="A4" s="34" t="s">
        <v>16</v>
      </c>
      <c r="B4" s="35">
        <f>COUNTA(A11:A896)</f>
        <v>39</v>
      </c>
      <c r="C4" s="25"/>
      <c r="D4" s="25"/>
      <c r="E4" s="36"/>
      <c r="F4" s="17"/>
      <c r="G4" s="19"/>
      <c r="H4" s="21"/>
      <c r="I4" s="17"/>
      <c r="J4" s="19"/>
      <c r="K4" s="21"/>
      <c r="L4" s="17"/>
      <c r="M4" s="19"/>
      <c r="N4" s="21"/>
      <c r="O4" s="21"/>
      <c r="P4" s="21"/>
      <c r="Q4" s="29"/>
      <c r="R4" s="31" t="s">
        <v>20</v>
      </c>
      <c r="S4" s="31"/>
      <c r="T4" s="31"/>
      <c r="U4" s="31"/>
      <c r="V4" s="31"/>
      <c r="W4" s="31"/>
      <c r="X4" s="31"/>
      <c r="Y4" s="31"/>
      <c r="Z4" s="31"/>
    </row>
    <row r="5" ht="19.5" customHeight="1">
      <c r="A5" s="50" t="s">
        <v>22</v>
      </c>
      <c r="B5" s="52" t="s">
        <v>6</v>
      </c>
      <c r="C5" s="52" t="s">
        <v>12</v>
      </c>
      <c r="D5" s="52" t="s">
        <v>20</v>
      </c>
      <c r="E5" s="57" t="s">
        <v>26</v>
      </c>
      <c r="F5" s="59"/>
      <c r="G5" s="59"/>
      <c r="H5" s="61"/>
      <c r="I5" s="59"/>
      <c r="J5" s="59"/>
      <c r="K5" s="61"/>
      <c r="L5" s="59"/>
      <c r="M5" s="59"/>
      <c r="N5" s="61"/>
      <c r="O5" s="61"/>
      <c r="P5" s="61"/>
      <c r="Q5" s="66"/>
      <c r="R5" s="31" t="s">
        <v>26</v>
      </c>
      <c r="S5" s="31"/>
      <c r="T5" s="31"/>
      <c r="U5" s="31"/>
      <c r="V5" s="31"/>
      <c r="W5" s="31"/>
      <c r="X5" s="31"/>
      <c r="Y5" s="31"/>
      <c r="Z5" s="31"/>
    </row>
    <row r="6" ht="15.0" customHeight="1">
      <c r="A6" s="50" t="s">
        <v>34</v>
      </c>
      <c r="B6" s="75">
        <f t="shared" ref="B6:E6" si="1">COUNTIF($F10:$F964,B5)</f>
        <v>32</v>
      </c>
      <c r="C6" s="75">
        <f t="shared" si="1"/>
        <v>0</v>
      </c>
      <c r="D6" s="75">
        <f t="shared" si="1"/>
        <v>0</v>
      </c>
      <c r="E6" s="78">
        <f t="shared" si="1"/>
        <v>0</v>
      </c>
      <c r="F6" s="80"/>
      <c r="G6" s="80"/>
      <c r="H6" s="61"/>
      <c r="I6" s="80"/>
      <c r="J6" s="80"/>
      <c r="K6" s="61"/>
      <c r="L6" s="80"/>
      <c r="M6" s="80"/>
      <c r="N6" s="61"/>
      <c r="O6" s="61"/>
      <c r="P6" s="61"/>
      <c r="Q6" s="66"/>
      <c r="R6" s="31"/>
      <c r="S6" s="31"/>
      <c r="T6" s="31"/>
      <c r="U6" s="31"/>
      <c r="V6" s="31"/>
      <c r="W6" s="31"/>
      <c r="X6" s="31"/>
      <c r="Y6" s="31"/>
      <c r="Z6" s="31"/>
    </row>
    <row r="7" ht="15.0" customHeight="1">
      <c r="A7" s="50" t="s">
        <v>46</v>
      </c>
      <c r="B7" s="75">
        <f t="shared" ref="B7:D7" si="2">COUNTIF($I10:$I964,B5)</f>
        <v>0</v>
      </c>
      <c r="C7" s="75">
        <f t="shared" si="2"/>
        <v>0</v>
      </c>
      <c r="D7" s="75">
        <f t="shared" si="2"/>
        <v>0</v>
      </c>
      <c r="E7" s="78">
        <f>COUNTIF($F10:$F964,E5)</f>
        <v>0</v>
      </c>
      <c r="F7" s="80"/>
      <c r="G7" s="80"/>
      <c r="H7" s="61"/>
      <c r="I7" s="80"/>
      <c r="J7" s="80"/>
      <c r="K7" s="61"/>
      <c r="L7" s="80"/>
      <c r="M7" s="80"/>
      <c r="N7" s="61"/>
      <c r="O7" s="61"/>
      <c r="P7" s="61"/>
      <c r="Q7" s="66"/>
      <c r="R7" s="31"/>
      <c r="S7" s="31"/>
      <c r="T7" s="31"/>
      <c r="U7" s="31"/>
      <c r="V7" s="31"/>
      <c r="W7" s="31"/>
      <c r="X7" s="31"/>
      <c r="Y7" s="31"/>
      <c r="Z7" s="31"/>
    </row>
    <row r="8" ht="15.0" customHeight="1">
      <c r="A8" s="93" t="s">
        <v>52</v>
      </c>
      <c r="B8" s="97">
        <f t="shared" ref="B8:D8" si="3">COUNTIF($L10:$L964,B5)</f>
        <v>0</v>
      </c>
      <c r="C8" s="97">
        <f t="shared" si="3"/>
        <v>0</v>
      </c>
      <c r="D8" s="97">
        <f t="shared" si="3"/>
        <v>0</v>
      </c>
      <c r="E8" s="100">
        <f>COUNTIF($F10:$F964,E5)</f>
        <v>0</v>
      </c>
      <c r="F8" s="80"/>
      <c r="G8" s="80"/>
      <c r="H8" s="61"/>
      <c r="I8" s="80"/>
      <c r="J8" s="80"/>
      <c r="K8" s="61"/>
      <c r="L8" s="80"/>
      <c r="M8" s="80"/>
      <c r="N8" s="61"/>
      <c r="O8" s="61"/>
      <c r="P8" s="61"/>
      <c r="Q8" s="66"/>
      <c r="R8" s="31"/>
      <c r="S8" s="31"/>
      <c r="T8" s="31"/>
      <c r="U8" s="31"/>
      <c r="V8" s="31"/>
      <c r="W8" s="31"/>
      <c r="X8" s="31"/>
      <c r="Y8" s="31"/>
      <c r="Z8" s="31"/>
    </row>
    <row r="9" ht="15.0" customHeight="1">
      <c r="A9" s="61"/>
      <c r="B9" s="61"/>
      <c r="C9" s="61"/>
      <c r="D9" s="61"/>
      <c r="E9" s="61"/>
      <c r="F9" s="101"/>
      <c r="G9" s="61"/>
      <c r="H9" s="61"/>
      <c r="I9" s="101"/>
      <c r="J9" s="61"/>
      <c r="K9" s="61"/>
      <c r="L9" s="101"/>
      <c r="M9" s="61"/>
      <c r="N9" s="61"/>
      <c r="O9" s="61"/>
      <c r="P9" s="61"/>
      <c r="Q9" s="66"/>
      <c r="R9" s="31"/>
      <c r="S9" s="31"/>
      <c r="T9" s="31"/>
      <c r="U9" s="31"/>
      <c r="V9" s="31"/>
      <c r="W9" s="31"/>
      <c r="X9" s="31"/>
      <c r="Y9" s="31"/>
      <c r="Z9" s="31"/>
    </row>
    <row r="10" ht="25.5" customHeight="1">
      <c r="A10" s="102" t="s">
        <v>53</v>
      </c>
      <c r="B10" s="102" t="s">
        <v>54</v>
      </c>
      <c r="C10" s="102" t="s">
        <v>55</v>
      </c>
      <c r="D10" s="102" t="s">
        <v>56</v>
      </c>
      <c r="E10" s="102" t="s">
        <v>58</v>
      </c>
      <c r="F10" s="102" t="s">
        <v>34</v>
      </c>
      <c r="G10" s="102" t="s">
        <v>59</v>
      </c>
      <c r="H10" s="102" t="s">
        <v>60</v>
      </c>
      <c r="I10" s="102" t="s">
        <v>46</v>
      </c>
      <c r="J10" s="102" t="s">
        <v>59</v>
      </c>
      <c r="K10" s="102" t="s">
        <v>60</v>
      </c>
      <c r="L10" s="102" t="s">
        <v>52</v>
      </c>
      <c r="M10" s="102" t="s">
        <v>59</v>
      </c>
      <c r="N10" s="102" t="s">
        <v>60</v>
      </c>
      <c r="O10" s="102" t="s">
        <v>62</v>
      </c>
      <c r="P10" s="31"/>
      <c r="Q10" s="113"/>
      <c r="R10" s="31"/>
      <c r="S10" s="31"/>
      <c r="T10" s="31"/>
      <c r="U10" s="31"/>
      <c r="V10" s="31"/>
      <c r="W10" s="31"/>
      <c r="X10" s="31"/>
      <c r="Y10" s="31"/>
      <c r="Z10" s="31"/>
    </row>
    <row r="11" ht="15.75" customHeight="1">
      <c r="A11" s="114" t="s">
        <v>192</v>
      </c>
      <c r="B11" s="116"/>
      <c r="C11" s="118"/>
      <c r="D11" s="118"/>
      <c r="E11" s="118"/>
      <c r="F11" s="119"/>
      <c r="G11" s="119"/>
      <c r="H11" s="119"/>
      <c r="I11" s="119"/>
      <c r="J11" s="119"/>
      <c r="K11" s="119"/>
      <c r="L11" s="119"/>
      <c r="M11" s="119"/>
      <c r="N11" s="119"/>
      <c r="O11" s="121"/>
      <c r="P11" s="31"/>
      <c r="Q11" s="122"/>
      <c r="R11" s="31"/>
      <c r="S11" s="31"/>
      <c r="T11" s="31"/>
      <c r="U11" s="31"/>
      <c r="V11" s="31"/>
      <c r="W11" s="31"/>
      <c r="X11" s="31"/>
      <c r="Y11" s="31"/>
      <c r="Z11" s="31"/>
    </row>
    <row r="12" ht="12.75" customHeight="1" outlineLevel="1">
      <c r="A12" s="151" t="s">
        <v>193</v>
      </c>
      <c r="B12" s="151" t="s">
        <v>194</v>
      </c>
      <c r="C12" s="151" t="s">
        <v>195</v>
      </c>
      <c r="D12" s="151" t="s">
        <v>196</v>
      </c>
      <c r="E12" s="151" t="s">
        <v>197</v>
      </c>
      <c r="F12" s="126" t="s">
        <v>6</v>
      </c>
      <c r="G12" s="152">
        <v>46227.0</v>
      </c>
      <c r="H12" s="126"/>
      <c r="I12" s="126"/>
      <c r="J12" s="126"/>
      <c r="K12" s="126"/>
      <c r="L12" s="126"/>
      <c r="M12" s="126"/>
      <c r="N12" s="126"/>
      <c r="O12" s="126"/>
      <c r="P12" s="1"/>
      <c r="Q12" s="130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51" t="s">
        <v>198</v>
      </c>
      <c r="B13" s="151" t="s">
        <v>199</v>
      </c>
      <c r="C13" s="151" t="s">
        <v>200</v>
      </c>
      <c r="D13" s="151" t="s">
        <v>201</v>
      </c>
      <c r="E13" s="151" t="s">
        <v>202</v>
      </c>
      <c r="F13" s="126" t="s">
        <v>6</v>
      </c>
      <c r="G13" s="152">
        <v>46227.0</v>
      </c>
      <c r="H13" s="126"/>
      <c r="I13" s="126"/>
      <c r="J13" s="126"/>
      <c r="K13" s="126"/>
      <c r="L13" s="126"/>
      <c r="M13" s="126"/>
      <c r="N13" s="126"/>
      <c r="O13" s="126"/>
      <c r="P13" s="1"/>
      <c r="Q13" s="1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51" t="s">
        <v>203</v>
      </c>
      <c r="B14" s="151" t="s">
        <v>204</v>
      </c>
      <c r="C14" s="151" t="s">
        <v>205</v>
      </c>
      <c r="D14" s="151" t="s">
        <v>206</v>
      </c>
      <c r="E14" s="151" t="s">
        <v>207</v>
      </c>
      <c r="F14" s="126" t="s">
        <v>6</v>
      </c>
      <c r="G14" s="152">
        <v>46227.0</v>
      </c>
      <c r="H14" s="126"/>
      <c r="I14" s="126"/>
      <c r="J14" s="126"/>
      <c r="K14" s="126"/>
      <c r="L14" s="126"/>
      <c r="M14" s="126"/>
      <c r="N14" s="126"/>
      <c r="O14" s="126"/>
      <c r="P14" s="1"/>
      <c r="Q14" s="1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14" t="s">
        <v>208</v>
      </c>
      <c r="B15" s="116"/>
      <c r="C15" s="118"/>
      <c r="D15" s="118"/>
      <c r="E15" s="118"/>
      <c r="F15" s="119"/>
      <c r="G15" s="119"/>
      <c r="H15" s="119"/>
      <c r="I15" s="119"/>
      <c r="J15" s="119"/>
      <c r="K15" s="119"/>
      <c r="L15" s="119"/>
      <c r="M15" s="119"/>
      <c r="N15" s="119"/>
      <c r="O15" s="121"/>
      <c r="P15" s="31"/>
      <c r="Q15" s="122"/>
      <c r="R15" s="31"/>
      <c r="S15" s="31"/>
      <c r="T15" s="31"/>
      <c r="U15" s="31"/>
      <c r="V15" s="31"/>
      <c r="W15" s="31"/>
      <c r="X15" s="31"/>
      <c r="Y15" s="31"/>
      <c r="Z15" s="31"/>
    </row>
    <row r="16" ht="12.75" customHeight="1">
      <c r="A16" s="151" t="s">
        <v>209</v>
      </c>
      <c r="B16" s="151" t="s">
        <v>210</v>
      </c>
      <c r="C16" s="151" t="s">
        <v>211</v>
      </c>
      <c r="D16" s="151" t="s">
        <v>212</v>
      </c>
      <c r="E16" s="151" t="s">
        <v>213</v>
      </c>
      <c r="F16" s="126" t="s">
        <v>6</v>
      </c>
      <c r="G16" s="152">
        <v>46227.0</v>
      </c>
      <c r="H16" s="126"/>
      <c r="I16" s="126"/>
      <c r="J16" s="126"/>
      <c r="K16" s="126"/>
      <c r="L16" s="126"/>
      <c r="M16" s="126"/>
      <c r="N16" s="126"/>
      <c r="O16" s="126"/>
      <c r="P16" s="1"/>
      <c r="Q16" s="1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51" t="s">
        <v>214</v>
      </c>
      <c r="B17" s="151" t="s">
        <v>215</v>
      </c>
      <c r="C17" s="151" t="s">
        <v>216</v>
      </c>
      <c r="D17" s="151" t="s">
        <v>217</v>
      </c>
      <c r="E17" s="151" t="s">
        <v>218</v>
      </c>
      <c r="F17" s="126" t="s">
        <v>6</v>
      </c>
      <c r="G17" s="152">
        <v>46227.0</v>
      </c>
      <c r="H17" s="126"/>
      <c r="I17" s="126"/>
      <c r="J17" s="126"/>
      <c r="K17" s="126"/>
      <c r="L17" s="126"/>
      <c r="M17" s="126"/>
      <c r="N17" s="126"/>
      <c r="O17" s="126"/>
      <c r="P17" s="1"/>
      <c r="Q17" s="11"/>
      <c r="R17" s="1"/>
      <c r="S17" s="1"/>
      <c r="T17" s="1"/>
      <c r="U17" s="1"/>
      <c r="V17" s="1"/>
      <c r="W17" s="1"/>
      <c r="X17" s="1"/>
      <c r="Y17" s="1"/>
      <c r="Z17" s="1"/>
    </row>
    <row r="18">
      <c r="A18" s="151" t="s">
        <v>219</v>
      </c>
      <c r="B18" s="151" t="s">
        <v>220</v>
      </c>
      <c r="C18" s="151" t="s">
        <v>221</v>
      </c>
      <c r="D18" s="151" t="s">
        <v>222</v>
      </c>
      <c r="E18" s="151" t="s">
        <v>223</v>
      </c>
      <c r="F18" s="126" t="s">
        <v>6</v>
      </c>
      <c r="G18" s="152">
        <v>46227.0</v>
      </c>
      <c r="H18" s="126"/>
      <c r="I18" s="126"/>
      <c r="J18" s="126"/>
      <c r="K18" s="126"/>
      <c r="L18" s="126"/>
      <c r="M18" s="126"/>
      <c r="N18" s="126"/>
      <c r="O18" s="126"/>
      <c r="P18" s="31"/>
      <c r="Q18" s="122"/>
      <c r="R18" s="31"/>
      <c r="S18" s="31"/>
      <c r="T18" s="31"/>
      <c r="U18" s="31"/>
      <c r="V18" s="31"/>
      <c r="W18" s="31"/>
      <c r="X18" s="31"/>
      <c r="Y18" s="31"/>
      <c r="Z18" s="31"/>
    </row>
    <row r="19" ht="12.75" customHeight="1">
      <c r="A19" s="151" t="s">
        <v>224</v>
      </c>
      <c r="B19" s="151" t="s">
        <v>225</v>
      </c>
      <c r="C19" s="151" t="s">
        <v>226</v>
      </c>
      <c r="D19" s="151" t="s">
        <v>227</v>
      </c>
      <c r="E19" s="151" t="s">
        <v>228</v>
      </c>
      <c r="F19" s="126" t="s">
        <v>6</v>
      </c>
      <c r="G19" s="152">
        <v>46227.0</v>
      </c>
      <c r="H19" s="126"/>
      <c r="I19" s="126"/>
      <c r="J19" s="126"/>
      <c r="K19" s="126"/>
      <c r="L19" s="126"/>
      <c r="M19" s="126"/>
      <c r="N19" s="126"/>
      <c r="O19" s="126"/>
      <c r="P19" s="1"/>
      <c r="Q19" s="1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14" t="s">
        <v>229</v>
      </c>
      <c r="B20" s="116"/>
      <c r="C20" s="118"/>
      <c r="D20" s="118"/>
      <c r="E20" s="118"/>
      <c r="F20" s="119"/>
      <c r="G20" s="119"/>
      <c r="H20" s="119"/>
      <c r="I20" s="119"/>
      <c r="J20" s="119"/>
      <c r="K20" s="119"/>
      <c r="L20" s="119"/>
      <c r="M20" s="119"/>
      <c r="N20" s="119"/>
      <c r="O20" s="121"/>
      <c r="P20" s="31"/>
      <c r="Q20" s="122"/>
      <c r="R20" s="31"/>
      <c r="S20" s="31"/>
      <c r="T20" s="31"/>
      <c r="U20" s="31"/>
      <c r="V20" s="31"/>
      <c r="W20" s="31"/>
      <c r="X20" s="31"/>
      <c r="Y20" s="31"/>
      <c r="Z20" s="31"/>
    </row>
    <row r="21" ht="12.75" customHeight="1">
      <c r="A21" s="151" t="s">
        <v>230</v>
      </c>
      <c r="B21" s="151" t="s">
        <v>231</v>
      </c>
      <c r="C21" s="151" t="s">
        <v>232</v>
      </c>
      <c r="D21" s="151" t="s">
        <v>233</v>
      </c>
      <c r="E21" s="151" t="s">
        <v>234</v>
      </c>
      <c r="F21" s="126" t="s">
        <v>6</v>
      </c>
      <c r="G21" s="152">
        <v>46227.0</v>
      </c>
      <c r="H21" s="126"/>
      <c r="I21" s="126"/>
      <c r="J21" s="126"/>
      <c r="K21" s="126"/>
      <c r="L21" s="126"/>
      <c r="M21" s="126"/>
      <c r="N21" s="126"/>
      <c r="O21" s="126"/>
      <c r="P21" s="1"/>
      <c r="Q21" s="1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51" t="s">
        <v>235</v>
      </c>
      <c r="B22" s="151" t="s">
        <v>236</v>
      </c>
      <c r="C22" s="151" t="s">
        <v>237</v>
      </c>
      <c r="D22" s="151" t="s">
        <v>238</v>
      </c>
      <c r="E22" s="151" t="s">
        <v>239</v>
      </c>
      <c r="F22" s="126" t="s">
        <v>6</v>
      </c>
      <c r="G22" s="152">
        <v>46227.0</v>
      </c>
      <c r="H22" s="126"/>
      <c r="I22" s="126"/>
      <c r="J22" s="126"/>
      <c r="K22" s="126"/>
      <c r="L22" s="126"/>
      <c r="M22" s="126"/>
      <c r="N22" s="126"/>
      <c r="O22" s="126"/>
      <c r="P22" s="1"/>
      <c r="Q22" s="1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51" t="s">
        <v>240</v>
      </c>
      <c r="B23" s="151" t="s">
        <v>241</v>
      </c>
      <c r="C23" s="151" t="s">
        <v>242</v>
      </c>
      <c r="D23" s="151" t="s">
        <v>243</v>
      </c>
      <c r="E23" s="151" t="s">
        <v>244</v>
      </c>
      <c r="F23" s="126" t="s">
        <v>6</v>
      </c>
      <c r="G23" s="152">
        <v>46227.0</v>
      </c>
      <c r="H23" s="126"/>
      <c r="I23" s="126"/>
      <c r="J23" s="126"/>
      <c r="K23" s="126"/>
      <c r="L23" s="126"/>
      <c r="M23" s="126"/>
      <c r="N23" s="126"/>
      <c r="O23" s="126"/>
      <c r="P23" s="1"/>
      <c r="Q23" s="11"/>
      <c r="R23" s="1"/>
      <c r="S23" s="1"/>
      <c r="T23" s="1"/>
      <c r="U23" s="1"/>
      <c r="V23" s="1"/>
      <c r="W23" s="1"/>
      <c r="X23" s="1"/>
      <c r="Y23" s="1"/>
      <c r="Z23" s="1"/>
    </row>
    <row r="24">
      <c r="A24" s="151" t="s">
        <v>245</v>
      </c>
      <c r="B24" s="151" t="s">
        <v>246</v>
      </c>
      <c r="C24" s="151" t="s">
        <v>247</v>
      </c>
      <c r="D24" s="151" t="s">
        <v>248</v>
      </c>
      <c r="E24" s="151" t="s">
        <v>249</v>
      </c>
      <c r="F24" s="126" t="s">
        <v>6</v>
      </c>
      <c r="G24" s="152">
        <v>46227.0</v>
      </c>
      <c r="H24" s="126"/>
      <c r="I24" s="126"/>
      <c r="J24" s="126"/>
      <c r="K24" s="126"/>
      <c r="L24" s="126"/>
      <c r="M24" s="126"/>
      <c r="N24" s="126"/>
      <c r="O24" s="126"/>
      <c r="P24" s="31"/>
      <c r="Q24" s="122"/>
      <c r="R24" s="31"/>
      <c r="S24" s="31"/>
      <c r="T24" s="31"/>
      <c r="U24" s="31"/>
      <c r="V24" s="31"/>
      <c r="W24" s="31"/>
      <c r="X24" s="31"/>
      <c r="Y24" s="31"/>
      <c r="Z24" s="31"/>
    </row>
    <row r="25" ht="12.75" customHeight="1">
      <c r="A25" s="151" t="s">
        <v>250</v>
      </c>
      <c r="B25" s="151" t="s">
        <v>251</v>
      </c>
      <c r="C25" s="151" t="s">
        <v>252</v>
      </c>
      <c r="D25" s="151" t="s">
        <v>253</v>
      </c>
      <c r="E25" s="151" t="s">
        <v>254</v>
      </c>
      <c r="F25" s="126" t="s">
        <v>6</v>
      </c>
      <c r="G25" s="152">
        <v>46227.0</v>
      </c>
      <c r="H25" s="126"/>
      <c r="I25" s="126"/>
      <c r="J25" s="126"/>
      <c r="K25" s="126"/>
      <c r="L25" s="126"/>
      <c r="M25" s="126"/>
      <c r="N25" s="126"/>
      <c r="O25" s="126"/>
      <c r="P25" s="1"/>
      <c r="Q25" s="1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51" t="s">
        <v>255</v>
      </c>
      <c r="B26" s="151" t="s">
        <v>256</v>
      </c>
      <c r="C26" s="151" t="s">
        <v>257</v>
      </c>
      <c r="D26" s="151" t="s">
        <v>258</v>
      </c>
      <c r="E26" s="151" t="s">
        <v>259</v>
      </c>
      <c r="F26" s="126" t="s">
        <v>6</v>
      </c>
      <c r="G26" s="152">
        <v>46227.0</v>
      </c>
      <c r="H26" s="126"/>
      <c r="I26" s="126"/>
      <c r="J26" s="126"/>
      <c r="K26" s="126"/>
      <c r="L26" s="126"/>
      <c r="M26" s="126"/>
      <c r="N26" s="126"/>
      <c r="O26" s="126"/>
      <c r="P26" s="1"/>
      <c r="Q26" s="1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51" t="s">
        <v>260</v>
      </c>
      <c r="B27" s="151" t="s">
        <v>261</v>
      </c>
      <c r="C27" s="151" t="s">
        <v>262</v>
      </c>
      <c r="D27" s="151" t="s">
        <v>263</v>
      </c>
      <c r="E27" s="151" t="s">
        <v>264</v>
      </c>
      <c r="F27" s="126" t="s">
        <v>6</v>
      </c>
      <c r="G27" s="152">
        <v>46227.0</v>
      </c>
      <c r="H27" s="126"/>
      <c r="I27" s="126"/>
      <c r="J27" s="126"/>
      <c r="K27" s="126"/>
      <c r="L27" s="126"/>
      <c r="M27" s="126"/>
      <c r="N27" s="126"/>
      <c r="O27" s="126"/>
      <c r="P27" s="1"/>
      <c r="Q27" s="1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51" t="s">
        <v>265</v>
      </c>
      <c r="B28" s="151" t="s">
        <v>266</v>
      </c>
      <c r="C28" s="151" t="s">
        <v>267</v>
      </c>
      <c r="D28" s="151" t="s">
        <v>268</v>
      </c>
      <c r="E28" s="151" t="s">
        <v>269</v>
      </c>
      <c r="F28" s="126" t="s">
        <v>6</v>
      </c>
      <c r="G28" s="152">
        <v>46227.0</v>
      </c>
      <c r="H28" s="126"/>
      <c r="I28" s="126"/>
      <c r="J28" s="126"/>
      <c r="K28" s="126"/>
      <c r="L28" s="126"/>
      <c r="M28" s="126"/>
      <c r="N28" s="126"/>
      <c r="O28" s="126"/>
      <c r="P28" s="1"/>
      <c r="Q28" s="11"/>
      <c r="R28" s="1"/>
      <c r="S28" s="1"/>
      <c r="T28" s="1"/>
      <c r="U28" s="1"/>
      <c r="V28" s="1"/>
      <c r="W28" s="1"/>
      <c r="X28" s="1"/>
      <c r="Y28" s="1"/>
      <c r="Z28" s="1"/>
    </row>
    <row r="29">
      <c r="A29" s="151" t="s">
        <v>270</v>
      </c>
      <c r="B29" s="151" t="s">
        <v>271</v>
      </c>
      <c r="C29" s="151" t="s">
        <v>272</v>
      </c>
      <c r="D29" s="151" t="s">
        <v>273</v>
      </c>
      <c r="E29" s="151" t="s">
        <v>274</v>
      </c>
      <c r="F29" s="126" t="s">
        <v>6</v>
      </c>
      <c r="G29" s="152">
        <v>46227.0</v>
      </c>
      <c r="H29" s="126"/>
      <c r="I29" s="126"/>
      <c r="J29" s="126"/>
      <c r="K29" s="126"/>
      <c r="L29" s="126"/>
      <c r="M29" s="126"/>
      <c r="N29" s="126"/>
      <c r="O29" s="126"/>
      <c r="P29" s="31"/>
      <c r="Q29" s="122"/>
      <c r="R29" s="31"/>
      <c r="S29" s="31"/>
      <c r="T29" s="31"/>
      <c r="U29" s="31"/>
      <c r="V29" s="31"/>
      <c r="W29" s="31"/>
      <c r="X29" s="31"/>
      <c r="Y29" s="31"/>
      <c r="Z29" s="31"/>
    </row>
    <row r="30" ht="12.75" customHeight="1">
      <c r="A30" s="151" t="s">
        <v>275</v>
      </c>
      <c r="B30" s="151" t="s">
        <v>276</v>
      </c>
      <c r="C30" s="151" t="s">
        <v>277</v>
      </c>
      <c r="D30" s="151" t="s">
        <v>278</v>
      </c>
      <c r="E30" s="151" t="s">
        <v>279</v>
      </c>
      <c r="F30" s="126" t="s">
        <v>6</v>
      </c>
      <c r="G30" s="152">
        <v>46227.0</v>
      </c>
      <c r="H30" s="126"/>
      <c r="I30" s="126"/>
      <c r="J30" s="126"/>
      <c r="K30" s="126"/>
      <c r="L30" s="126"/>
      <c r="M30" s="126"/>
      <c r="N30" s="126"/>
      <c r="O30" s="126"/>
      <c r="P30" s="1"/>
      <c r="Q30" s="1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51" t="s">
        <v>280</v>
      </c>
      <c r="B31" s="151" t="s">
        <v>281</v>
      </c>
      <c r="C31" s="151" t="s">
        <v>282</v>
      </c>
      <c r="D31" s="151" t="s">
        <v>283</v>
      </c>
      <c r="E31" s="151" t="s">
        <v>284</v>
      </c>
      <c r="F31" s="126" t="s">
        <v>6</v>
      </c>
      <c r="G31" s="152">
        <v>46227.0</v>
      </c>
      <c r="H31" s="126"/>
      <c r="I31" s="126"/>
      <c r="J31" s="126"/>
      <c r="K31" s="126"/>
      <c r="L31" s="126"/>
      <c r="M31" s="126"/>
      <c r="N31" s="126"/>
      <c r="O31" s="126"/>
      <c r="P31" s="1"/>
      <c r="Q31" s="1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14" t="s">
        <v>285</v>
      </c>
      <c r="B32" s="116"/>
      <c r="C32" s="118"/>
      <c r="D32" s="118"/>
      <c r="E32" s="118"/>
      <c r="F32" s="119"/>
      <c r="G32" s="119"/>
      <c r="H32" s="119"/>
      <c r="I32" s="119"/>
      <c r="J32" s="119"/>
      <c r="K32" s="119"/>
      <c r="L32" s="119"/>
      <c r="M32" s="119"/>
      <c r="N32" s="119"/>
      <c r="O32" s="121"/>
      <c r="P32" s="31"/>
      <c r="Q32" s="122"/>
      <c r="R32" s="31"/>
      <c r="S32" s="31"/>
      <c r="T32" s="31"/>
      <c r="U32" s="31"/>
      <c r="V32" s="31"/>
      <c r="W32" s="31"/>
      <c r="X32" s="31"/>
      <c r="Y32" s="31"/>
      <c r="Z32" s="31"/>
    </row>
    <row r="33" ht="12.75" customHeight="1">
      <c r="A33" s="151" t="s">
        <v>260</v>
      </c>
      <c r="B33" s="151" t="s">
        <v>261</v>
      </c>
      <c r="C33" s="151" t="s">
        <v>262</v>
      </c>
      <c r="D33" s="151" t="s">
        <v>263</v>
      </c>
      <c r="E33" s="151" t="s">
        <v>264</v>
      </c>
      <c r="F33" s="126" t="s">
        <v>6</v>
      </c>
      <c r="G33" s="152">
        <v>46227.0</v>
      </c>
      <c r="H33" s="126"/>
      <c r="I33" s="126"/>
      <c r="J33" s="126"/>
      <c r="K33" s="126"/>
      <c r="L33" s="126"/>
      <c r="M33" s="126"/>
      <c r="N33" s="126"/>
      <c r="O33" s="126"/>
      <c r="P33" s="1"/>
      <c r="Q33" s="1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51" t="s">
        <v>265</v>
      </c>
      <c r="B34" s="151" t="s">
        <v>266</v>
      </c>
      <c r="C34" s="151" t="s">
        <v>267</v>
      </c>
      <c r="D34" s="151" t="s">
        <v>268</v>
      </c>
      <c r="E34" s="151" t="s">
        <v>269</v>
      </c>
      <c r="F34" s="126" t="s">
        <v>6</v>
      </c>
      <c r="G34" s="152">
        <v>46227.0</v>
      </c>
      <c r="H34" s="126"/>
      <c r="I34" s="126"/>
      <c r="J34" s="126"/>
      <c r="K34" s="126"/>
      <c r="L34" s="126"/>
      <c r="M34" s="126"/>
      <c r="N34" s="126"/>
      <c r="O34" s="126"/>
      <c r="P34" s="1"/>
      <c r="Q34" s="1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51" t="s">
        <v>270</v>
      </c>
      <c r="B35" s="151" t="s">
        <v>271</v>
      </c>
      <c r="C35" s="151" t="s">
        <v>272</v>
      </c>
      <c r="D35" s="151" t="s">
        <v>273</v>
      </c>
      <c r="E35" s="151" t="s">
        <v>274</v>
      </c>
      <c r="F35" s="126" t="s">
        <v>6</v>
      </c>
      <c r="G35" s="152">
        <v>46227.0</v>
      </c>
      <c r="H35" s="126"/>
      <c r="I35" s="126"/>
      <c r="J35" s="126"/>
      <c r="K35" s="126"/>
      <c r="L35" s="126"/>
      <c r="M35" s="126"/>
      <c r="N35" s="126"/>
      <c r="O35" s="126"/>
      <c r="P35" s="1"/>
      <c r="Q35" s="1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51" t="s">
        <v>275</v>
      </c>
      <c r="B36" s="151" t="s">
        <v>276</v>
      </c>
      <c r="C36" s="151" t="s">
        <v>277</v>
      </c>
      <c r="D36" s="151" t="s">
        <v>278</v>
      </c>
      <c r="E36" s="151" t="s">
        <v>279</v>
      </c>
      <c r="F36" s="126" t="s">
        <v>6</v>
      </c>
      <c r="G36" s="152">
        <v>46227.0</v>
      </c>
      <c r="H36" s="126"/>
      <c r="I36" s="126"/>
      <c r="J36" s="126"/>
      <c r="K36" s="126"/>
      <c r="L36" s="126"/>
      <c r="M36" s="126"/>
      <c r="N36" s="126"/>
      <c r="O36" s="126"/>
      <c r="P36" s="144"/>
      <c r="Q36" s="1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51" t="s">
        <v>280</v>
      </c>
      <c r="B37" s="151" t="s">
        <v>281</v>
      </c>
      <c r="C37" s="151" t="s">
        <v>282</v>
      </c>
      <c r="D37" s="151" t="s">
        <v>283</v>
      </c>
      <c r="E37" s="151" t="s">
        <v>284</v>
      </c>
      <c r="F37" s="126" t="s">
        <v>6</v>
      </c>
      <c r="G37" s="152">
        <v>46227.0</v>
      </c>
      <c r="H37" s="126"/>
      <c r="I37" s="126"/>
      <c r="J37" s="126"/>
      <c r="K37" s="126"/>
      <c r="L37" s="126"/>
      <c r="M37" s="126"/>
      <c r="N37" s="126"/>
      <c r="O37" s="126"/>
      <c r="P37" s="147"/>
      <c r="Q37" s="148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14" t="s">
        <v>286</v>
      </c>
      <c r="B38" s="116"/>
      <c r="C38" s="118"/>
      <c r="D38" s="118"/>
      <c r="E38" s="118"/>
      <c r="F38" s="119"/>
      <c r="G38" s="119"/>
      <c r="H38" s="119"/>
      <c r="I38" s="119"/>
      <c r="J38" s="119"/>
      <c r="K38" s="119"/>
      <c r="L38" s="119"/>
      <c r="M38" s="119"/>
      <c r="N38" s="119"/>
      <c r="O38" s="121"/>
      <c r="P38" s="147"/>
      <c r="Q38" s="148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51" t="s">
        <v>287</v>
      </c>
      <c r="B39" s="151" t="s">
        <v>288</v>
      </c>
      <c r="C39" s="151" t="s">
        <v>289</v>
      </c>
      <c r="D39" s="151" t="s">
        <v>290</v>
      </c>
      <c r="E39" s="151" t="s">
        <v>291</v>
      </c>
      <c r="F39" s="126" t="s">
        <v>6</v>
      </c>
      <c r="G39" s="152">
        <v>46227.0</v>
      </c>
      <c r="H39" s="126"/>
      <c r="I39" s="126"/>
      <c r="J39" s="126"/>
      <c r="K39" s="126"/>
      <c r="L39" s="126"/>
      <c r="M39" s="126"/>
      <c r="N39" s="126"/>
      <c r="O39" s="126"/>
      <c r="P39" s="147"/>
      <c r="Q39" s="148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51" t="s">
        <v>292</v>
      </c>
      <c r="B40" s="151" t="s">
        <v>293</v>
      </c>
      <c r="C40" s="151" t="s">
        <v>294</v>
      </c>
      <c r="D40" s="151" t="s">
        <v>295</v>
      </c>
      <c r="E40" s="151" t="s">
        <v>296</v>
      </c>
      <c r="F40" s="126" t="s">
        <v>6</v>
      </c>
      <c r="G40" s="152">
        <v>46227.0</v>
      </c>
      <c r="H40" s="126"/>
      <c r="I40" s="126"/>
      <c r="J40" s="126"/>
      <c r="K40" s="126"/>
      <c r="L40" s="126"/>
      <c r="M40" s="126"/>
      <c r="N40" s="126"/>
      <c r="O40" s="126"/>
      <c r="P40" s="147"/>
      <c r="Q40" s="148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51" t="s">
        <v>297</v>
      </c>
      <c r="B41" s="151" t="s">
        <v>298</v>
      </c>
      <c r="C41" s="151" t="s">
        <v>299</v>
      </c>
      <c r="D41" s="151" t="s">
        <v>300</v>
      </c>
      <c r="E41" s="151" t="s">
        <v>301</v>
      </c>
      <c r="F41" s="126" t="s">
        <v>6</v>
      </c>
      <c r="G41" s="152">
        <v>46227.0</v>
      </c>
      <c r="H41" s="126"/>
      <c r="I41" s="126"/>
      <c r="J41" s="126"/>
      <c r="K41" s="126"/>
      <c r="L41" s="126"/>
      <c r="M41" s="126"/>
      <c r="N41" s="126"/>
      <c r="O41" s="126"/>
      <c r="P41" s="147"/>
      <c r="Q41" s="148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51" t="s">
        <v>302</v>
      </c>
      <c r="B42" s="151" t="s">
        <v>303</v>
      </c>
      <c r="C42" s="151" t="s">
        <v>304</v>
      </c>
      <c r="D42" s="151" t="s">
        <v>305</v>
      </c>
      <c r="E42" s="151" t="s">
        <v>306</v>
      </c>
      <c r="F42" s="126" t="s">
        <v>6</v>
      </c>
      <c r="G42" s="152">
        <v>46227.0</v>
      </c>
      <c r="H42" s="126"/>
      <c r="I42" s="126"/>
      <c r="J42" s="126"/>
      <c r="K42" s="126"/>
      <c r="L42" s="126"/>
      <c r="M42" s="126"/>
      <c r="N42" s="126"/>
      <c r="O42" s="126"/>
      <c r="P42" s="147"/>
      <c r="Q42" s="148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14" t="s">
        <v>307</v>
      </c>
      <c r="B43" s="116"/>
      <c r="C43" s="118"/>
      <c r="D43" s="118"/>
      <c r="E43" s="118"/>
      <c r="F43" s="119"/>
      <c r="G43" s="119"/>
      <c r="H43" s="119"/>
      <c r="I43" s="119"/>
      <c r="J43" s="119"/>
      <c r="K43" s="119"/>
      <c r="L43" s="119"/>
      <c r="M43" s="119"/>
      <c r="N43" s="119"/>
      <c r="O43" s="121"/>
      <c r="P43" s="147"/>
      <c r="Q43" s="148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51" t="s">
        <v>308</v>
      </c>
      <c r="B44" s="151" t="s">
        <v>309</v>
      </c>
      <c r="C44" s="151" t="s">
        <v>310</v>
      </c>
      <c r="D44" s="151" t="s">
        <v>311</v>
      </c>
      <c r="E44" s="151" t="s">
        <v>312</v>
      </c>
      <c r="F44" s="126" t="s">
        <v>6</v>
      </c>
      <c r="G44" s="152">
        <v>46227.0</v>
      </c>
      <c r="H44" s="126"/>
      <c r="I44" s="126"/>
      <c r="J44" s="126"/>
      <c r="K44" s="126"/>
      <c r="L44" s="126"/>
      <c r="M44" s="126"/>
      <c r="N44" s="126"/>
      <c r="O44" s="126"/>
      <c r="P44" s="147"/>
      <c r="Q44" s="148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51" t="s">
        <v>313</v>
      </c>
      <c r="B45" s="151" t="s">
        <v>314</v>
      </c>
      <c r="C45" s="151" t="s">
        <v>315</v>
      </c>
      <c r="D45" s="151" t="s">
        <v>316</v>
      </c>
      <c r="E45" s="151" t="s">
        <v>317</v>
      </c>
      <c r="F45" s="126" t="s">
        <v>6</v>
      </c>
      <c r="G45" s="152">
        <v>46227.0</v>
      </c>
      <c r="H45" s="126"/>
      <c r="I45" s="126"/>
      <c r="J45" s="126"/>
      <c r="K45" s="126"/>
      <c r="L45" s="126"/>
      <c r="M45" s="126"/>
      <c r="N45" s="126"/>
      <c r="O45" s="126"/>
      <c r="P45" s="147"/>
      <c r="Q45" s="148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51" t="s">
        <v>318</v>
      </c>
      <c r="B46" s="151" t="s">
        <v>319</v>
      </c>
      <c r="C46" s="151" t="s">
        <v>320</v>
      </c>
      <c r="D46" s="151" t="s">
        <v>321</v>
      </c>
      <c r="E46" s="151" t="s">
        <v>322</v>
      </c>
      <c r="F46" s="126" t="s">
        <v>6</v>
      </c>
      <c r="G46" s="152">
        <v>46227.0</v>
      </c>
      <c r="H46" s="126"/>
      <c r="I46" s="126"/>
      <c r="J46" s="126"/>
      <c r="K46" s="126"/>
      <c r="L46" s="126"/>
      <c r="M46" s="126"/>
      <c r="N46" s="126"/>
      <c r="O46" s="126"/>
      <c r="P46" s="147"/>
      <c r="Q46" s="148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14" t="s">
        <v>323</v>
      </c>
      <c r="B47" s="116"/>
      <c r="C47" s="118"/>
      <c r="D47" s="118"/>
      <c r="E47" s="118"/>
      <c r="F47" s="119"/>
      <c r="G47" s="119"/>
      <c r="H47" s="119"/>
      <c r="I47" s="119"/>
      <c r="J47" s="119"/>
      <c r="K47" s="119"/>
      <c r="L47" s="119"/>
      <c r="M47" s="119"/>
      <c r="N47" s="119"/>
      <c r="O47" s="121"/>
      <c r="P47" s="147"/>
      <c r="Q47" s="148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51" t="s">
        <v>324</v>
      </c>
      <c r="B48" s="151" t="s">
        <v>325</v>
      </c>
      <c r="C48" s="151" t="s">
        <v>326</v>
      </c>
      <c r="D48" s="151" t="s">
        <v>327</v>
      </c>
      <c r="E48" s="151" t="s">
        <v>328</v>
      </c>
      <c r="F48" s="126" t="s">
        <v>6</v>
      </c>
      <c r="G48" s="152">
        <v>46227.0</v>
      </c>
      <c r="H48" s="128"/>
      <c r="I48" s="126"/>
      <c r="J48" s="127"/>
      <c r="K48" s="128"/>
      <c r="L48" s="129"/>
      <c r="M48" s="129"/>
      <c r="N48" s="129"/>
      <c r="O48" s="129"/>
      <c r="P48" s="147"/>
      <c r="Q48" s="148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51" t="s">
        <v>329</v>
      </c>
      <c r="B49" s="151" t="s">
        <v>330</v>
      </c>
      <c r="C49" s="151" t="s">
        <v>331</v>
      </c>
      <c r="D49" s="151" t="s">
        <v>332</v>
      </c>
      <c r="E49" s="151" t="s">
        <v>333</v>
      </c>
      <c r="F49" s="126" t="s">
        <v>6</v>
      </c>
      <c r="G49" s="152">
        <v>46227.0</v>
      </c>
      <c r="H49" s="128"/>
      <c r="I49" s="126"/>
      <c r="J49" s="127"/>
      <c r="K49" s="128"/>
      <c r="L49" s="129"/>
      <c r="M49" s="129"/>
      <c r="N49" s="129"/>
      <c r="O49" s="129"/>
      <c r="P49" s="147"/>
      <c r="Q49" s="148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1"/>
      <c r="R945" s="1"/>
      <c r="S945" s="1"/>
      <c r="T945" s="1"/>
      <c r="U945" s="1"/>
      <c r="V945" s="1"/>
      <c r="W945" s="1"/>
      <c r="X945" s="1"/>
      <c r="Y945" s="1"/>
      <c r="Z945" s="1"/>
    </row>
  </sheetData>
  <mergeCells count="3">
    <mergeCell ref="B2:E2"/>
    <mergeCell ref="B3:E3"/>
    <mergeCell ref="B4:E4"/>
  </mergeCells>
  <dataValidations>
    <dataValidation type="list" allowBlank="1" showErrorMessage="1" sqref="G2:G3 J2:J3 M2:M3 G9 J9 M9 F11:F49 I11:I49 L11:L49 G50:G113 J50:J113 M50:M113">
      <formula1>$R$2:$R$5</formula1>
    </dataValidation>
  </dataValidations>
  <printOptions/>
  <pageMargins bottom="0.9840277777777777" footer="0.0" header="0.0" left="0.7479166666666667" right="0.25" top="0.75"/>
  <pageSetup paperSize="9"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2020-03-17T17:34:29Z</dcterms:created>
  <dc:creator>Kien Nguyen</dc:creator>
</cp:coreProperties>
</file>